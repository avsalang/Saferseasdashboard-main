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on\Documents\Saferseasdashboard-main\outputs\"/>
    </mc:Choice>
  </mc:AlternateContent>
  <xr:revisionPtr revIDLastSave="0" documentId="13_ncr:1_{16F8F29F-6861-45AE-A14D-361C9C5262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uide" sheetId="1" r:id="rId1"/>
    <sheet name="Raw_Incidents" sheetId="2" r:id="rId2"/>
    <sheet name="Lookups" sheetId="3" r:id="rId3"/>
    <sheet name="Enriched" sheetId="4" r:id="rId4"/>
    <sheet name="Trend_Summary" sheetId="5" r:id="rId5"/>
    <sheet name="Causal_Analysis" sheetId="6" r:id="rId6"/>
    <sheet name="Exposure_Analysis" sheetId="7" r:id="rId7"/>
    <sheet name="Quality_Analysis" sheetId="8" r:id="rId8"/>
    <sheet name="Policy_Brief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A5" i="9"/>
  <c r="C11" i="8"/>
  <c r="C9" i="8"/>
  <c r="E29" i="5"/>
  <c r="AK38" i="4"/>
  <c r="AJ38" i="4"/>
  <c r="AI38" i="4"/>
  <c r="AH38" i="4"/>
  <c r="AG38" i="4"/>
  <c r="AE38" i="4"/>
  <c r="AC38" i="4"/>
  <c r="AB38" i="4"/>
  <c r="AA38" i="4"/>
  <c r="Z38" i="4"/>
  <c r="V38" i="4"/>
  <c r="U38" i="4"/>
  <c r="T38" i="4"/>
  <c r="S38" i="4"/>
  <c r="R38" i="4"/>
  <c r="Q38" i="4"/>
  <c r="L38" i="4"/>
  <c r="K38" i="4"/>
  <c r="J38" i="4"/>
  <c r="I38" i="4"/>
  <c r="H38" i="4"/>
  <c r="G38" i="4"/>
  <c r="AF38" i="4" s="1"/>
  <c r="F38" i="4"/>
  <c r="E38" i="4"/>
  <c r="D38" i="4"/>
  <c r="X38" i="4" s="1"/>
  <c r="C38" i="4"/>
  <c r="B38" i="4"/>
  <c r="N38" i="4" s="1"/>
  <c r="A38" i="4"/>
  <c r="AK37" i="4"/>
  <c r="AJ37" i="4"/>
  <c r="AI37" i="4"/>
  <c r="AH37" i="4"/>
  <c r="AG37" i="4"/>
  <c r="AE37" i="4"/>
  <c r="AC37" i="4"/>
  <c r="AB37" i="4"/>
  <c r="AA37" i="4"/>
  <c r="Z37" i="4"/>
  <c r="V37" i="4"/>
  <c r="U37" i="4"/>
  <c r="W37" i="4" s="1"/>
  <c r="T37" i="4"/>
  <c r="S37" i="4"/>
  <c r="R37" i="4"/>
  <c r="Q37" i="4"/>
  <c r="L37" i="4"/>
  <c r="K37" i="4"/>
  <c r="J37" i="4"/>
  <c r="I37" i="4"/>
  <c r="H37" i="4"/>
  <c r="G37" i="4"/>
  <c r="AF37" i="4" s="1"/>
  <c r="F37" i="4"/>
  <c r="E37" i="4"/>
  <c r="D37" i="4"/>
  <c r="X37" i="4" s="1"/>
  <c r="C37" i="4"/>
  <c r="B37" i="4"/>
  <c r="O37" i="4" s="1"/>
  <c r="A37" i="4"/>
  <c r="AK36" i="4"/>
  <c r="AJ36" i="4"/>
  <c r="AI36" i="4"/>
  <c r="AH36" i="4"/>
  <c r="AG36" i="4"/>
  <c r="AE36" i="4"/>
  <c r="AC36" i="4"/>
  <c r="AB36" i="4"/>
  <c r="AA36" i="4"/>
  <c r="Z36" i="4"/>
  <c r="V36" i="4"/>
  <c r="U36" i="4"/>
  <c r="T36" i="4"/>
  <c r="S36" i="4"/>
  <c r="R36" i="4"/>
  <c r="Q36" i="4"/>
  <c r="M36" i="4"/>
  <c r="L36" i="4"/>
  <c r="K36" i="4"/>
  <c r="J36" i="4"/>
  <c r="I36" i="4"/>
  <c r="H36" i="4"/>
  <c r="G36" i="4"/>
  <c r="AF36" i="4" s="1"/>
  <c r="F36" i="4"/>
  <c r="E36" i="4"/>
  <c r="D36" i="4"/>
  <c r="X36" i="4" s="1"/>
  <c r="C36" i="4"/>
  <c r="B36" i="4"/>
  <c r="N36" i="4" s="1"/>
  <c r="A36" i="4"/>
  <c r="AK35" i="4"/>
  <c r="AJ35" i="4"/>
  <c r="AI35" i="4"/>
  <c r="AH35" i="4"/>
  <c r="AG35" i="4"/>
  <c r="AE35" i="4"/>
  <c r="AC35" i="4"/>
  <c r="AB35" i="4"/>
  <c r="AA35" i="4"/>
  <c r="Z35" i="4"/>
  <c r="V35" i="4"/>
  <c r="U35" i="4"/>
  <c r="T35" i="4"/>
  <c r="S35" i="4"/>
  <c r="R35" i="4"/>
  <c r="Q35" i="4"/>
  <c r="L35" i="4"/>
  <c r="K35" i="4"/>
  <c r="J35" i="4"/>
  <c r="I35" i="4"/>
  <c r="H35" i="4"/>
  <c r="G35" i="4"/>
  <c r="AF35" i="4" s="1"/>
  <c r="F35" i="4"/>
  <c r="E35" i="4"/>
  <c r="D35" i="4"/>
  <c r="X35" i="4" s="1"/>
  <c r="C35" i="4"/>
  <c r="B35" i="4"/>
  <c r="O35" i="4" s="1"/>
  <c r="A35" i="4"/>
  <c r="AK34" i="4"/>
  <c r="AJ34" i="4"/>
  <c r="AI34" i="4"/>
  <c r="AH34" i="4"/>
  <c r="AG34" i="4"/>
  <c r="AE34" i="4"/>
  <c r="AC34" i="4"/>
  <c r="AB34" i="4"/>
  <c r="AA34" i="4"/>
  <c r="Z34" i="4"/>
  <c r="V34" i="4"/>
  <c r="U34" i="4"/>
  <c r="T34" i="4"/>
  <c r="S34" i="4"/>
  <c r="R34" i="4"/>
  <c r="Q34" i="4"/>
  <c r="L34" i="4"/>
  <c r="K34" i="4"/>
  <c r="J34" i="4"/>
  <c r="I34" i="4"/>
  <c r="H34" i="4"/>
  <c r="G34" i="4"/>
  <c r="AF34" i="4" s="1"/>
  <c r="F34" i="4"/>
  <c r="E34" i="4"/>
  <c r="D34" i="4"/>
  <c r="X34" i="4" s="1"/>
  <c r="C34" i="4"/>
  <c r="B34" i="4"/>
  <c r="A34" i="4"/>
  <c r="AK33" i="4"/>
  <c r="AJ33" i="4"/>
  <c r="AI33" i="4"/>
  <c r="AH33" i="4"/>
  <c r="AG33" i="4"/>
  <c r="AE33" i="4"/>
  <c r="AC33" i="4"/>
  <c r="AB33" i="4"/>
  <c r="AA33" i="4"/>
  <c r="Z33" i="4"/>
  <c r="V33" i="4"/>
  <c r="U33" i="4"/>
  <c r="T33" i="4"/>
  <c r="S33" i="4"/>
  <c r="R33" i="4"/>
  <c r="Q33" i="4"/>
  <c r="L33" i="4"/>
  <c r="K33" i="4"/>
  <c r="J33" i="4"/>
  <c r="I33" i="4"/>
  <c r="H33" i="4"/>
  <c r="G33" i="4"/>
  <c r="AF33" i="4" s="1"/>
  <c r="F33" i="4"/>
  <c r="E33" i="4"/>
  <c r="D33" i="4"/>
  <c r="X33" i="4" s="1"/>
  <c r="C33" i="4"/>
  <c r="B33" i="4"/>
  <c r="N33" i="4" s="1"/>
  <c r="A33" i="4"/>
  <c r="AK32" i="4"/>
  <c r="AJ32" i="4"/>
  <c r="AI32" i="4"/>
  <c r="AH32" i="4"/>
  <c r="AG32" i="4"/>
  <c r="AE32" i="4"/>
  <c r="AC32" i="4"/>
  <c r="AB32" i="4"/>
  <c r="AA32" i="4"/>
  <c r="Z32" i="4"/>
  <c r="V32" i="4"/>
  <c r="U32" i="4"/>
  <c r="T32" i="4"/>
  <c r="S32" i="4"/>
  <c r="R32" i="4"/>
  <c r="Q32" i="4"/>
  <c r="P32" i="4"/>
  <c r="L32" i="4"/>
  <c r="K32" i="4"/>
  <c r="J32" i="4"/>
  <c r="I32" i="4"/>
  <c r="H32" i="4"/>
  <c r="G32" i="4"/>
  <c r="AF32" i="4" s="1"/>
  <c r="F32" i="4"/>
  <c r="E32" i="4"/>
  <c r="D32" i="4"/>
  <c r="X32" i="4" s="1"/>
  <c r="C32" i="4"/>
  <c r="B32" i="4"/>
  <c r="A32" i="4"/>
  <c r="AK31" i="4"/>
  <c r="AJ31" i="4"/>
  <c r="AI31" i="4"/>
  <c r="AH31" i="4"/>
  <c r="AG31" i="4"/>
  <c r="AF31" i="4"/>
  <c r="AE31" i="4"/>
  <c r="AC31" i="4"/>
  <c r="AB31" i="4"/>
  <c r="AA31" i="4"/>
  <c r="Z31" i="4"/>
  <c r="X31" i="4"/>
  <c r="V31" i="4"/>
  <c r="U31" i="4"/>
  <c r="T31" i="4"/>
  <c r="S31" i="4"/>
  <c r="R31" i="4"/>
  <c r="Q31" i="4"/>
  <c r="L31" i="4"/>
  <c r="K31" i="4"/>
  <c r="J31" i="4"/>
  <c r="I31" i="4"/>
  <c r="H31" i="4"/>
  <c r="G31" i="4"/>
  <c r="F31" i="4"/>
  <c r="E31" i="4"/>
  <c r="D31" i="4"/>
  <c r="C31" i="4"/>
  <c r="B31" i="4"/>
  <c r="P31" i="4" s="1"/>
  <c r="A31" i="4"/>
  <c r="AK30" i="4"/>
  <c r="AJ30" i="4"/>
  <c r="AI30" i="4"/>
  <c r="AH30" i="4"/>
  <c r="AG30" i="4"/>
  <c r="AE30" i="4"/>
  <c r="AC30" i="4"/>
  <c r="AB30" i="4"/>
  <c r="AA30" i="4"/>
  <c r="Z30" i="4"/>
  <c r="X30" i="4"/>
  <c r="V30" i="4"/>
  <c r="U30" i="4"/>
  <c r="T30" i="4"/>
  <c r="S30" i="4"/>
  <c r="R30" i="4"/>
  <c r="Q30" i="4"/>
  <c r="L30" i="4"/>
  <c r="K30" i="4"/>
  <c r="J30" i="4"/>
  <c r="I30" i="4"/>
  <c r="H30" i="4"/>
  <c r="G30" i="4"/>
  <c r="AF30" i="4" s="1"/>
  <c r="F30" i="4"/>
  <c r="E30" i="4"/>
  <c r="D30" i="4"/>
  <c r="C30" i="4"/>
  <c r="B30" i="4"/>
  <c r="N30" i="4" s="1"/>
  <c r="A30" i="4"/>
  <c r="AK29" i="4"/>
  <c r="AJ29" i="4"/>
  <c r="AI29" i="4"/>
  <c r="AH29" i="4"/>
  <c r="AG29" i="4"/>
  <c r="AE29" i="4"/>
  <c r="AC29" i="4"/>
  <c r="AB29" i="4"/>
  <c r="AA29" i="4"/>
  <c r="Z29" i="4"/>
  <c r="X29" i="4"/>
  <c r="V29" i="4"/>
  <c r="U29" i="4"/>
  <c r="T29" i="4"/>
  <c r="S29" i="4"/>
  <c r="R29" i="4"/>
  <c r="Q29" i="4"/>
  <c r="L29" i="4"/>
  <c r="K29" i="4"/>
  <c r="J29" i="4"/>
  <c r="I29" i="4"/>
  <c r="H29" i="4"/>
  <c r="G29" i="4"/>
  <c r="AF29" i="4" s="1"/>
  <c r="F29" i="4"/>
  <c r="E29" i="4"/>
  <c r="D29" i="4"/>
  <c r="C29" i="4"/>
  <c r="B29" i="4"/>
  <c r="A29" i="4"/>
  <c r="AK28" i="4"/>
  <c r="AJ28" i="4"/>
  <c r="AI28" i="4"/>
  <c r="AH28" i="4"/>
  <c r="AG28" i="4"/>
  <c r="AE28" i="4"/>
  <c r="AC28" i="4"/>
  <c r="AB28" i="4"/>
  <c r="AA28" i="4"/>
  <c r="Z28" i="4"/>
  <c r="V28" i="4"/>
  <c r="U28" i="4"/>
  <c r="W28" i="4" s="1"/>
  <c r="T28" i="4"/>
  <c r="S28" i="4"/>
  <c r="R28" i="4"/>
  <c r="Q28" i="4"/>
  <c r="L28" i="4"/>
  <c r="K28" i="4"/>
  <c r="J28" i="4"/>
  <c r="I28" i="4"/>
  <c r="H28" i="4"/>
  <c r="G28" i="4"/>
  <c r="AF28" i="4" s="1"/>
  <c r="F28" i="4"/>
  <c r="E28" i="4"/>
  <c r="D28" i="4"/>
  <c r="X28" i="4" s="1"/>
  <c r="Y28" i="4" s="1"/>
  <c r="C28" i="4"/>
  <c r="B28" i="4"/>
  <c r="M28" i="4" s="1"/>
  <c r="A28" i="4"/>
  <c r="AK27" i="4"/>
  <c r="AJ27" i="4"/>
  <c r="AI27" i="4"/>
  <c r="AH27" i="4"/>
  <c r="AG27" i="4"/>
  <c r="AE27" i="4"/>
  <c r="AC27" i="4"/>
  <c r="AB27" i="4"/>
  <c r="AA27" i="4"/>
  <c r="Z27" i="4"/>
  <c r="X27" i="4"/>
  <c r="V27" i="4"/>
  <c r="U27" i="4"/>
  <c r="T27" i="4"/>
  <c r="S27" i="4"/>
  <c r="R27" i="4"/>
  <c r="Q27" i="4"/>
  <c r="L27" i="4"/>
  <c r="K27" i="4"/>
  <c r="J27" i="4"/>
  <c r="I27" i="4"/>
  <c r="H27" i="4"/>
  <c r="G27" i="4"/>
  <c r="AF27" i="4" s="1"/>
  <c r="F27" i="4"/>
  <c r="E27" i="4"/>
  <c r="D27" i="4"/>
  <c r="C27" i="4"/>
  <c r="B27" i="4"/>
  <c r="M27" i="4" s="1"/>
  <c r="A27" i="4"/>
  <c r="AK26" i="4"/>
  <c r="AJ26" i="4"/>
  <c r="AI26" i="4"/>
  <c r="AH26" i="4"/>
  <c r="AG26" i="4"/>
  <c r="AF26" i="4"/>
  <c r="AE26" i="4"/>
  <c r="AC26" i="4"/>
  <c r="AB26" i="4"/>
  <c r="AA26" i="4"/>
  <c r="Z26" i="4"/>
  <c r="V26" i="4"/>
  <c r="U26" i="4"/>
  <c r="T26" i="4"/>
  <c r="S26" i="4"/>
  <c r="R26" i="4"/>
  <c r="Q26" i="4"/>
  <c r="L26" i="4"/>
  <c r="K26" i="4"/>
  <c r="J26" i="4"/>
  <c r="I26" i="4"/>
  <c r="H26" i="4"/>
  <c r="G26" i="4"/>
  <c r="F26" i="4"/>
  <c r="E26" i="4"/>
  <c r="D26" i="4"/>
  <c r="X26" i="4" s="1"/>
  <c r="C26" i="4"/>
  <c r="B26" i="4"/>
  <c r="N26" i="4" s="1"/>
  <c r="A26" i="4"/>
  <c r="AK25" i="4"/>
  <c r="AJ25" i="4"/>
  <c r="AI25" i="4"/>
  <c r="AH25" i="4"/>
  <c r="AG25" i="4"/>
  <c r="AE25" i="4"/>
  <c r="AC25" i="4"/>
  <c r="AB25" i="4"/>
  <c r="AA25" i="4"/>
  <c r="Z25" i="4"/>
  <c r="V25" i="4"/>
  <c r="W25" i="4" s="1"/>
  <c r="U25" i="4"/>
  <c r="T25" i="4"/>
  <c r="S25" i="4"/>
  <c r="R25" i="4"/>
  <c r="Q25" i="4"/>
  <c r="L25" i="4"/>
  <c r="K25" i="4"/>
  <c r="J25" i="4"/>
  <c r="I25" i="4"/>
  <c r="H25" i="4"/>
  <c r="G25" i="4"/>
  <c r="AF25" i="4" s="1"/>
  <c r="F25" i="4"/>
  <c r="E25" i="4"/>
  <c r="D25" i="4"/>
  <c r="X25" i="4" s="1"/>
  <c r="C25" i="4"/>
  <c r="B25" i="4"/>
  <c r="O25" i="4" s="1"/>
  <c r="A25" i="4"/>
  <c r="AK24" i="4"/>
  <c r="AJ24" i="4"/>
  <c r="AI24" i="4"/>
  <c r="AH24" i="4"/>
  <c r="AG24" i="4"/>
  <c r="AE24" i="4"/>
  <c r="AC24" i="4"/>
  <c r="AB24" i="4"/>
  <c r="AA24" i="4"/>
  <c r="Z24" i="4"/>
  <c r="V24" i="4"/>
  <c r="U24" i="4"/>
  <c r="T24" i="4"/>
  <c r="S24" i="4"/>
  <c r="R24" i="4"/>
  <c r="Q24" i="4"/>
  <c r="M24" i="4"/>
  <c r="L24" i="4"/>
  <c r="K24" i="4"/>
  <c r="J24" i="4"/>
  <c r="I24" i="4"/>
  <c r="H24" i="4"/>
  <c r="G24" i="4"/>
  <c r="AF24" i="4" s="1"/>
  <c r="F24" i="4"/>
  <c r="E24" i="4"/>
  <c r="D24" i="4"/>
  <c r="X24" i="4" s="1"/>
  <c r="C24" i="4"/>
  <c r="B24" i="4"/>
  <c r="N24" i="4" s="1"/>
  <c r="A24" i="4"/>
  <c r="AK23" i="4"/>
  <c r="AJ23" i="4"/>
  <c r="AI23" i="4"/>
  <c r="AH23" i="4"/>
  <c r="AG23" i="4"/>
  <c r="AE23" i="4"/>
  <c r="AC23" i="4"/>
  <c r="AB23" i="4"/>
  <c r="AA23" i="4"/>
  <c r="Z23" i="4"/>
  <c r="V23" i="4"/>
  <c r="W23" i="4" s="1"/>
  <c r="U23" i="4"/>
  <c r="T23" i="4"/>
  <c r="S23" i="4"/>
  <c r="R23" i="4"/>
  <c r="Q23" i="4"/>
  <c r="L23" i="4"/>
  <c r="K23" i="4"/>
  <c r="J23" i="4"/>
  <c r="I23" i="4"/>
  <c r="H23" i="4"/>
  <c r="G23" i="4"/>
  <c r="AF23" i="4" s="1"/>
  <c r="F23" i="4"/>
  <c r="E23" i="4"/>
  <c r="D23" i="4"/>
  <c r="X23" i="4" s="1"/>
  <c r="C23" i="4"/>
  <c r="B23" i="4"/>
  <c r="O23" i="4" s="1"/>
  <c r="A23" i="4"/>
  <c r="AK22" i="4"/>
  <c r="AJ22" i="4"/>
  <c r="AI22" i="4"/>
  <c r="AH22" i="4"/>
  <c r="AG22" i="4"/>
  <c r="AE22" i="4"/>
  <c r="AC22" i="4"/>
  <c r="AB22" i="4"/>
  <c r="AA22" i="4"/>
  <c r="Z22" i="4"/>
  <c r="V22" i="4"/>
  <c r="U22" i="4"/>
  <c r="T22" i="4"/>
  <c r="S22" i="4"/>
  <c r="R22" i="4"/>
  <c r="Q22" i="4"/>
  <c r="L22" i="4"/>
  <c r="K22" i="4"/>
  <c r="J22" i="4"/>
  <c r="I22" i="4"/>
  <c r="H22" i="4"/>
  <c r="G22" i="4"/>
  <c r="AF22" i="4" s="1"/>
  <c r="F22" i="4"/>
  <c r="E22" i="4"/>
  <c r="D22" i="4"/>
  <c r="X22" i="4" s="1"/>
  <c r="C22" i="4"/>
  <c r="B22" i="4"/>
  <c r="A22" i="4"/>
  <c r="AK21" i="4"/>
  <c r="AJ21" i="4"/>
  <c r="AI21" i="4"/>
  <c r="AH21" i="4"/>
  <c r="AG21" i="4"/>
  <c r="AE21" i="4"/>
  <c r="AC21" i="4"/>
  <c r="AB21" i="4"/>
  <c r="AA21" i="4"/>
  <c r="Z21" i="4"/>
  <c r="V21" i="4"/>
  <c r="U21" i="4"/>
  <c r="T21" i="4"/>
  <c r="S21" i="4"/>
  <c r="R21" i="4"/>
  <c r="Q21" i="4"/>
  <c r="L21" i="4"/>
  <c r="K21" i="4"/>
  <c r="J21" i="4"/>
  <c r="I21" i="4"/>
  <c r="H21" i="4"/>
  <c r="G21" i="4"/>
  <c r="AF21" i="4" s="1"/>
  <c r="F21" i="4"/>
  <c r="E21" i="4"/>
  <c r="D21" i="4"/>
  <c r="X21" i="4" s="1"/>
  <c r="C21" i="4"/>
  <c r="B21" i="4"/>
  <c r="N21" i="4" s="1"/>
  <c r="A21" i="4"/>
  <c r="AK20" i="4"/>
  <c r="AJ20" i="4"/>
  <c r="AI20" i="4"/>
  <c r="AH20" i="4"/>
  <c r="AG20" i="4"/>
  <c r="AE20" i="4"/>
  <c r="AC20" i="4"/>
  <c r="AB20" i="4"/>
  <c r="AA20" i="4"/>
  <c r="Z20" i="4"/>
  <c r="V20" i="4"/>
  <c r="U20" i="4"/>
  <c r="T20" i="4"/>
  <c r="S20" i="4"/>
  <c r="R20" i="4"/>
  <c r="Q20" i="4"/>
  <c r="L20" i="4"/>
  <c r="K20" i="4"/>
  <c r="J20" i="4"/>
  <c r="I20" i="4"/>
  <c r="H20" i="4"/>
  <c r="G20" i="4"/>
  <c r="AF20" i="4" s="1"/>
  <c r="F20" i="4"/>
  <c r="E20" i="4"/>
  <c r="D20" i="4"/>
  <c r="X20" i="4" s="1"/>
  <c r="C20" i="4"/>
  <c r="B20" i="4"/>
  <c r="P20" i="4" s="1"/>
  <c r="A20" i="4"/>
  <c r="AK19" i="4"/>
  <c r="AJ19" i="4"/>
  <c r="AI19" i="4"/>
  <c r="AH19" i="4"/>
  <c r="AG19" i="4"/>
  <c r="AE19" i="4"/>
  <c r="AC19" i="4"/>
  <c r="AB19" i="4"/>
  <c r="AA19" i="4"/>
  <c r="Z19" i="4"/>
  <c r="V19" i="4"/>
  <c r="U19" i="4"/>
  <c r="T19" i="4"/>
  <c r="S19" i="4"/>
  <c r="R19" i="4"/>
  <c r="Q19" i="4"/>
  <c r="L19" i="4"/>
  <c r="K19" i="4"/>
  <c r="J19" i="4"/>
  <c r="I19" i="4"/>
  <c r="H19" i="4"/>
  <c r="G19" i="4"/>
  <c r="AF19" i="4" s="1"/>
  <c r="F19" i="4"/>
  <c r="E19" i="4"/>
  <c r="D19" i="4"/>
  <c r="X19" i="4" s="1"/>
  <c r="C19" i="4"/>
  <c r="B19" i="4"/>
  <c r="P19" i="4" s="1"/>
  <c r="A19" i="4"/>
  <c r="AK18" i="4"/>
  <c r="AJ18" i="4"/>
  <c r="AI18" i="4"/>
  <c r="AH18" i="4"/>
  <c r="AG18" i="4"/>
  <c r="AE18" i="4"/>
  <c r="AC18" i="4"/>
  <c r="AB18" i="4"/>
  <c r="AA18" i="4"/>
  <c r="Z18" i="4"/>
  <c r="X18" i="4"/>
  <c r="V18" i="4"/>
  <c r="U18" i="4"/>
  <c r="T18" i="4"/>
  <c r="S18" i="4"/>
  <c r="R18" i="4"/>
  <c r="Q18" i="4"/>
  <c r="M18" i="4"/>
  <c r="L18" i="4"/>
  <c r="K18" i="4"/>
  <c r="J18" i="4"/>
  <c r="I18" i="4"/>
  <c r="H18" i="4"/>
  <c r="G18" i="4"/>
  <c r="AF18" i="4" s="1"/>
  <c r="F18" i="4"/>
  <c r="E18" i="4"/>
  <c r="D18" i="4"/>
  <c r="C18" i="4"/>
  <c r="B18" i="4"/>
  <c r="N18" i="4" s="1"/>
  <c r="A18" i="4"/>
  <c r="AK17" i="4"/>
  <c r="AJ17" i="4"/>
  <c r="AI17" i="4"/>
  <c r="AH17" i="4"/>
  <c r="AG17" i="4"/>
  <c r="AE17" i="4"/>
  <c r="AC17" i="4"/>
  <c r="AB17" i="4"/>
  <c r="AA17" i="4"/>
  <c r="Z17" i="4"/>
  <c r="V17" i="4"/>
  <c r="U17" i="4"/>
  <c r="T17" i="4"/>
  <c r="S17" i="4"/>
  <c r="R17" i="4"/>
  <c r="Q17" i="4"/>
  <c r="M17" i="4"/>
  <c r="L17" i="4"/>
  <c r="K17" i="4"/>
  <c r="J17" i="4"/>
  <c r="I17" i="4"/>
  <c r="H17" i="4"/>
  <c r="G17" i="4"/>
  <c r="AF17" i="4" s="1"/>
  <c r="F17" i="4"/>
  <c r="E17" i="4"/>
  <c r="D17" i="4"/>
  <c r="X17" i="4" s="1"/>
  <c r="C17" i="4"/>
  <c r="B17" i="4"/>
  <c r="A17" i="4"/>
  <c r="AK16" i="4"/>
  <c r="AJ16" i="4"/>
  <c r="AI16" i="4"/>
  <c r="AH16" i="4"/>
  <c r="AG16" i="4"/>
  <c r="AE16" i="4"/>
  <c r="AC16" i="4"/>
  <c r="AB16" i="4"/>
  <c r="AA16" i="4"/>
  <c r="Z16" i="4"/>
  <c r="V16" i="4"/>
  <c r="W16" i="4" s="1"/>
  <c r="U16" i="4"/>
  <c r="T16" i="4"/>
  <c r="S16" i="4"/>
  <c r="R16" i="4"/>
  <c r="Q16" i="4"/>
  <c r="L16" i="4"/>
  <c r="K16" i="4"/>
  <c r="J16" i="4"/>
  <c r="I16" i="4"/>
  <c r="H16" i="4"/>
  <c r="G16" i="4"/>
  <c r="AF16" i="4" s="1"/>
  <c r="F16" i="4"/>
  <c r="E16" i="4"/>
  <c r="D16" i="4"/>
  <c r="X16" i="4" s="1"/>
  <c r="C16" i="4"/>
  <c r="B16" i="4"/>
  <c r="M16" i="4" s="1"/>
  <c r="A16" i="4"/>
  <c r="AK15" i="4"/>
  <c r="AJ15" i="4"/>
  <c r="AI15" i="4"/>
  <c r="AH15" i="4"/>
  <c r="AG15" i="4"/>
  <c r="AE15" i="4"/>
  <c r="AC15" i="4"/>
  <c r="AB15" i="4"/>
  <c r="AA15" i="4"/>
  <c r="Z15" i="4"/>
  <c r="V15" i="4"/>
  <c r="U15" i="4"/>
  <c r="T15" i="4"/>
  <c r="S15" i="4"/>
  <c r="R15" i="4"/>
  <c r="Q15" i="4"/>
  <c r="L15" i="4"/>
  <c r="K15" i="4"/>
  <c r="J15" i="4"/>
  <c r="I15" i="4"/>
  <c r="H15" i="4"/>
  <c r="G15" i="4"/>
  <c r="AF15" i="4" s="1"/>
  <c r="F15" i="4"/>
  <c r="E15" i="4"/>
  <c r="D15" i="4"/>
  <c r="X15" i="4" s="1"/>
  <c r="C15" i="4"/>
  <c r="B15" i="4"/>
  <c r="M15" i="4" s="1"/>
  <c r="A15" i="4"/>
  <c r="AK14" i="4"/>
  <c r="AJ14" i="4"/>
  <c r="AI14" i="4"/>
  <c r="AH14" i="4"/>
  <c r="AG14" i="4"/>
  <c r="AF14" i="4"/>
  <c r="AE14" i="4"/>
  <c r="AC14" i="4"/>
  <c r="AB14" i="4"/>
  <c r="AA14" i="4"/>
  <c r="Z14" i="4"/>
  <c r="V14" i="4"/>
  <c r="U14" i="4"/>
  <c r="T14" i="4"/>
  <c r="S14" i="4"/>
  <c r="R14" i="4"/>
  <c r="Q14" i="4"/>
  <c r="L14" i="4"/>
  <c r="K14" i="4"/>
  <c r="J14" i="4"/>
  <c r="I14" i="4"/>
  <c r="H14" i="4"/>
  <c r="G14" i="4"/>
  <c r="F14" i="4"/>
  <c r="E14" i="4"/>
  <c r="D14" i="4"/>
  <c r="X14" i="4" s="1"/>
  <c r="C14" i="4"/>
  <c r="B14" i="4"/>
  <c r="N14" i="4" s="1"/>
  <c r="A14" i="4"/>
  <c r="AK13" i="4"/>
  <c r="AJ13" i="4"/>
  <c r="AI13" i="4"/>
  <c r="AH13" i="4"/>
  <c r="AG13" i="4"/>
  <c r="AE13" i="4"/>
  <c r="AC13" i="4"/>
  <c r="AB13" i="4"/>
  <c r="AA13" i="4"/>
  <c r="Z13" i="4"/>
  <c r="V13" i="4"/>
  <c r="U13" i="4"/>
  <c r="T13" i="4"/>
  <c r="S13" i="4"/>
  <c r="R13" i="4"/>
  <c r="Q13" i="4"/>
  <c r="P13" i="4"/>
  <c r="L13" i="4"/>
  <c r="K13" i="4"/>
  <c r="J13" i="4"/>
  <c r="I13" i="4"/>
  <c r="H13" i="4"/>
  <c r="G13" i="4"/>
  <c r="AF13" i="4" s="1"/>
  <c r="F13" i="4"/>
  <c r="E13" i="4"/>
  <c r="D13" i="4"/>
  <c r="X13" i="4" s="1"/>
  <c r="C13" i="4"/>
  <c r="B13" i="4"/>
  <c r="O13" i="4" s="1"/>
  <c r="A13" i="4"/>
  <c r="AK12" i="4"/>
  <c r="AJ12" i="4"/>
  <c r="AI12" i="4"/>
  <c r="AH12" i="4"/>
  <c r="AG12" i="4"/>
  <c r="AE12" i="4"/>
  <c r="AC12" i="4"/>
  <c r="AB12" i="4"/>
  <c r="AA12" i="4"/>
  <c r="Z12" i="4"/>
  <c r="V12" i="4"/>
  <c r="U12" i="4"/>
  <c r="T12" i="4"/>
  <c r="S12" i="4"/>
  <c r="R12" i="4"/>
  <c r="Q12" i="4"/>
  <c r="L12" i="4"/>
  <c r="K12" i="4"/>
  <c r="J12" i="4"/>
  <c r="I12" i="4"/>
  <c r="H12" i="4"/>
  <c r="G12" i="4"/>
  <c r="AF12" i="4" s="1"/>
  <c r="F12" i="4"/>
  <c r="E12" i="4"/>
  <c r="D12" i="4"/>
  <c r="X12" i="4" s="1"/>
  <c r="C12" i="4"/>
  <c r="B12" i="4"/>
  <c r="N12" i="4" s="1"/>
  <c r="A12" i="4"/>
  <c r="AK11" i="4"/>
  <c r="AJ11" i="4"/>
  <c r="AI11" i="4"/>
  <c r="AH11" i="4"/>
  <c r="AG11" i="4"/>
  <c r="AE11" i="4"/>
  <c r="AC11" i="4"/>
  <c r="AB11" i="4"/>
  <c r="AA11" i="4"/>
  <c r="Z11" i="4"/>
  <c r="V11" i="4"/>
  <c r="U11" i="4"/>
  <c r="T11" i="4"/>
  <c r="S11" i="4"/>
  <c r="R11" i="4"/>
  <c r="Q11" i="4"/>
  <c r="M11" i="4"/>
  <c r="L11" i="4"/>
  <c r="K11" i="4"/>
  <c r="J11" i="4"/>
  <c r="I11" i="4"/>
  <c r="H11" i="4"/>
  <c r="G11" i="4"/>
  <c r="AF11" i="4" s="1"/>
  <c r="F11" i="4"/>
  <c r="E11" i="4"/>
  <c r="D11" i="4"/>
  <c r="X11" i="4" s="1"/>
  <c r="C11" i="4"/>
  <c r="B11" i="4"/>
  <c r="O11" i="4" s="1"/>
  <c r="A11" i="4"/>
  <c r="AK10" i="4"/>
  <c r="AJ10" i="4"/>
  <c r="AI10" i="4"/>
  <c r="AH10" i="4"/>
  <c r="AG10" i="4"/>
  <c r="AE10" i="4"/>
  <c r="AC10" i="4"/>
  <c r="AB10" i="4"/>
  <c r="AA10" i="4"/>
  <c r="Z10" i="4"/>
  <c r="V10" i="4"/>
  <c r="U10" i="4"/>
  <c r="T10" i="4"/>
  <c r="S10" i="4"/>
  <c r="R10" i="4"/>
  <c r="Q10" i="4"/>
  <c r="L10" i="4"/>
  <c r="K10" i="4"/>
  <c r="J10" i="4"/>
  <c r="I10" i="4"/>
  <c r="H10" i="4"/>
  <c r="G10" i="4"/>
  <c r="AF10" i="4" s="1"/>
  <c r="F10" i="4"/>
  <c r="E10" i="4"/>
  <c r="D10" i="4"/>
  <c r="X10" i="4" s="1"/>
  <c r="C10" i="4"/>
  <c r="B10" i="4"/>
  <c r="A10" i="4"/>
  <c r="AK9" i="4"/>
  <c r="AJ9" i="4"/>
  <c r="AI9" i="4"/>
  <c r="AH9" i="4"/>
  <c r="AG9" i="4"/>
  <c r="AF9" i="4"/>
  <c r="AE9" i="4"/>
  <c r="AC9" i="4"/>
  <c r="AB9" i="4"/>
  <c r="AA9" i="4"/>
  <c r="Z9" i="4"/>
  <c r="V9" i="4"/>
  <c r="U9" i="4"/>
  <c r="W9" i="4" s="1"/>
  <c r="T9" i="4"/>
  <c r="S9" i="4"/>
  <c r="R9" i="4"/>
  <c r="Q9" i="4"/>
  <c r="O9" i="4"/>
  <c r="L9" i="4"/>
  <c r="K9" i="4"/>
  <c r="J9" i="4"/>
  <c r="I9" i="4"/>
  <c r="H9" i="4"/>
  <c r="G9" i="4"/>
  <c r="F9" i="4"/>
  <c r="E9" i="4"/>
  <c r="D9" i="4"/>
  <c r="X9" i="4" s="1"/>
  <c r="C9" i="4"/>
  <c r="B9" i="4"/>
  <c r="N9" i="4" s="1"/>
  <c r="A9" i="4"/>
  <c r="AK8" i="4"/>
  <c r="AJ8" i="4"/>
  <c r="AI8" i="4"/>
  <c r="AH8" i="4"/>
  <c r="AG8" i="4"/>
  <c r="AE8" i="4"/>
  <c r="AC8" i="4"/>
  <c r="AB8" i="4"/>
  <c r="AA8" i="4"/>
  <c r="Z8" i="4"/>
  <c r="V8" i="4"/>
  <c r="U8" i="4"/>
  <c r="T8" i="4"/>
  <c r="S8" i="4"/>
  <c r="R8" i="4"/>
  <c r="Q8" i="4"/>
  <c r="L8" i="4"/>
  <c r="K8" i="4"/>
  <c r="J8" i="4"/>
  <c r="I8" i="4"/>
  <c r="H8" i="4"/>
  <c r="G8" i="4"/>
  <c r="AF8" i="4" s="1"/>
  <c r="F8" i="4"/>
  <c r="E8" i="4"/>
  <c r="D8" i="4"/>
  <c r="X8" i="4" s="1"/>
  <c r="C8" i="4"/>
  <c r="B8" i="4"/>
  <c r="P8" i="4" s="1"/>
  <c r="A8" i="4"/>
  <c r="AK7" i="4"/>
  <c r="AJ7" i="4"/>
  <c r="AI7" i="4"/>
  <c r="AH7" i="4"/>
  <c r="AG7" i="4"/>
  <c r="AF7" i="4"/>
  <c r="AE7" i="4"/>
  <c r="AC7" i="4"/>
  <c r="AB7" i="4"/>
  <c r="AA7" i="4"/>
  <c r="Z7" i="4"/>
  <c r="V7" i="4"/>
  <c r="U7" i="4"/>
  <c r="T7" i="4"/>
  <c r="S7" i="4"/>
  <c r="R7" i="4"/>
  <c r="Q7" i="4"/>
  <c r="L7" i="4"/>
  <c r="K7" i="4"/>
  <c r="J7" i="4"/>
  <c r="I7" i="4"/>
  <c r="H7" i="4"/>
  <c r="G7" i="4"/>
  <c r="F7" i="4"/>
  <c r="E7" i="4"/>
  <c r="D7" i="4"/>
  <c r="X7" i="4" s="1"/>
  <c r="C7" i="4"/>
  <c r="B7" i="4"/>
  <c r="P7" i="4" s="1"/>
  <c r="A7" i="4"/>
  <c r="AK6" i="4"/>
  <c r="AJ6" i="4"/>
  <c r="AI6" i="4"/>
  <c r="AH6" i="4"/>
  <c r="AG6" i="4"/>
  <c r="AE6" i="4"/>
  <c r="AC6" i="4"/>
  <c r="AB6" i="4"/>
  <c r="AA6" i="4"/>
  <c r="Z6" i="4"/>
  <c r="X6" i="4"/>
  <c r="V6" i="4"/>
  <c r="U6" i="4"/>
  <c r="W6" i="4" s="1"/>
  <c r="T6" i="4"/>
  <c r="S6" i="4"/>
  <c r="R6" i="4"/>
  <c r="Q6" i="4"/>
  <c r="L6" i="4"/>
  <c r="K6" i="4"/>
  <c r="J6" i="4"/>
  <c r="I6" i="4"/>
  <c r="H6" i="4"/>
  <c r="G6" i="4"/>
  <c r="AF6" i="4" s="1"/>
  <c r="F6" i="4"/>
  <c r="E6" i="4"/>
  <c r="D6" i="4"/>
  <c r="C6" i="4"/>
  <c r="B6" i="4"/>
  <c r="N6" i="4" s="1"/>
  <c r="A6" i="4"/>
  <c r="AK5" i="4"/>
  <c r="AJ5" i="4"/>
  <c r="AI5" i="4"/>
  <c r="AH5" i="4"/>
  <c r="AG5" i="4"/>
  <c r="AE5" i="4"/>
  <c r="AC5" i="4"/>
  <c r="AB5" i="4"/>
  <c r="AA5" i="4"/>
  <c r="Z5" i="4"/>
  <c r="X5" i="4"/>
  <c r="V5" i="4"/>
  <c r="U5" i="4"/>
  <c r="T5" i="4"/>
  <c r="S5" i="4"/>
  <c r="R5" i="4"/>
  <c r="Q5" i="4"/>
  <c r="L5" i="4"/>
  <c r="K5" i="4"/>
  <c r="J5" i="4"/>
  <c r="I5" i="4"/>
  <c r="H5" i="4"/>
  <c r="G5" i="4"/>
  <c r="F5" i="4"/>
  <c r="E5" i="4"/>
  <c r="D5" i="4"/>
  <c r="C5" i="4"/>
  <c r="B31" i="6" s="1"/>
  <c r="B5" i="4"/>
  <c r="A5" i="4"/>
  <c r="AD17" i="4" l="1"/>
  <c r="P26" i="4"/>
  <c r="M28" i="8"/>
  <c r="W12" i="4"/>
  <c r="AD22" i="4"/>
  <c r="W30" i="4"/>
  <c r="M38" i="4"/>
  <c r="W19" i="4"/>
  <c r="D46" i="7" s="1"/>
  <c r="W17" i="4"/>
  <c r="D48" i="7" s="1"/>
  <c r="M23" i="4"/>
  <c r="P25" i="4"/>
  <c r="W26" i="4"/>
  <c r="Y26" i="4" s="1"/>
  <c r="W33" i="4"/>
  <c r="W13" i="4"/>
  <c r="P14" i="4"/>
  <c r="W20" i="4"/>
  <c r="M21" i="4"/>
  <c r="W31" i="4"/>
  <c r="W36" i="4"/>
  <c r="Y27" i="4"/>
  <c r="B8" i="6"/>
  <c r="W11" i="4"/>
  <c r="W18" i="4"/>
  <c r="Y18" i="4" s="1"/>
  <c r="W27" i="4"/>
  <c r="D47" i="7" s="1"/>
  <c r="W29" i="4"/>
  <c r="AD31" i="4"/>
  <c r="M35" i="4"/>
  <c r="AD5" i="4"/>
  <c r="B43" i="6"/>
  <c r="C43" i="6" s="1"/>
  <c r="O19" i="4"/>
  <c r="M26" i="4"/>
  <c r="Y29" i="4"/>
  <c r="Y16" i="4"/>
  <c r="O14" i="4"/>
  <c r="W22" i="4"/>
  <c r="AD29" i="4"/>
  <c r="AD7" i="4"/>
  <c r="AD16" i="4"/>
  <c r="O21" i="4"/>
  <c r="O38" i="4"/>
  <c r="AD9" i="4"/>
  <c r="P9" i="4"/>
  <c r="P11" i="4"/>
  <c r="AD11" i="4"/>
  <c r="W5" i="4"/>
  <c r="M6" i="4"/>
  <c r="D16" i="5" s="1"/>
  <c r="Y9" i="4"/>
  <c r="AD19" i="4"/>
  <c r="AD21" i="4"/>
  <c r="P21" i="4"/>
  <c r="P23" i="4"/>
  <c r="AD23" i="4"/>
  <c r="O26" i="4"/>
  <c r="O31" i="4"/>
  <c r="W32" i="4"/>
  <c r="Y32" i="4" s="1"/>
  <c r="M33" i="4"/>
  <c r="W34" i="4"/>
  <c r="AD36" i="4"/>
  <c r="P38" i="4"/>
  <c r="AD28" i="4"/>
  <c r="Y30" i="4"/>
  <c r="O33" i="4"/>
  <c r="C6" i="8"/>
  <c r="P6" i="4"/>
  <c r="O18" i="4"/>
  <c r="Y23" i="4"/>
  <c r="E34" i="7" s="1"/>
  <c r="W24" i="4"/>
  <c r="D45" i="7" s="1"/>
  <c r="AD33" i="4"/>
  <c r="P33" i="4"/>
  <c r="P35" i="4"/>
  <c r="Y6" i="4"/>
  <c r="C33" i="7"/>
  <c r="C7" i="8"/>
  <c r="W7" i="4"/>
  <c r="Y7" i="4" s="1"/>
  <c r="P18" i="4"/>
  <c r="M30" i="4"/>
  <c r="Y33" i="4"/>
  <c r="P37" i="4"/>
  <c r="O6" i="4"/>
  <c r="C8" i="8"/>
  <c r="O30" i="4"/>
  <c r="AD6" i="4"/>
  <c r="AD8" i="4"/>
  <c r="Y13" i="4"/>
  <c r="W14" i="4"/>
  <c r="Y14" i="4" s="1"/>
  <c r="W21" i="4"/>
  <c r="Y21" i="4" s="1"/>
  <c r="P30" i="4"/>
  <c r="W38" i="4"/>
  <c r="Y38" i="4" s="1"/>
  <c r="Y11" i="4"/>
  <c r="D11" i="8"/>
  <c r="E11" i="8" s="1"/>
  <c r="J11" i="8" s="1"/>
  <c r="M5" i="4"/>
  <c r="C10" i="8"/>
  <c r="AD10" i="4"/>
  <c r="M12" i="4"/>
  <c r="AD18" i="4"/>
  <c r="AD20" i="4"/>
  <c r="AD35" i="4"/>
  <c r="Y37" i="4"/>
  <c r="O12" i="4"/>
  <c r="Y25" i="4"/>
  <c r="AD12" i="4"/>
  <c r="G12" i="7" s="1"/>
  <c r="O24" i="4"/>
  <c r="AD30" i="4"/>
  <c r="AD32" i="4"/>
  <c r="W35" i="4"/>
  <c r="Y35" i="4" s="1"/>
  <c r="O36" i="4"/>
  <c r="P12" i="4"/>
  <c r="O7" i="4"/>
  <c r="W8" i="4"/>
  <c r="Y8" i="4" s="1"/>
  <c r="M9" i="4"/>
  <c r="W10" i="4"/>
  <c r="Y10" i="4" s="1"/>
  <c r="M14" i="4"/>
  <c r="W15" i="4"/>
  <c r="Y15" i="4" s="1"/>
  <c r="P24" i="4"/>
  <c r="AD24" i="4"/>
  <c r="M29" i="4"/>
  <c r="AD34" i="4"/>
  <c r="P36" i="4"/>
  <c r="Y22" i="4"/>
  <c r="Y34" i="4"/>
  <c r="Y12" i="4"/>
  <c r="Y5" i="4"/>
  <c r="Y36" i="4"/>
  <c r="Y31" i="4"/>
  <c r="F12" i="7" s="1"/>
  <c r="Y20" i="4"/>
  <c r="E5" i="5"/>
  <c r="B30" i="5"/>
  <c r="C30" i="5" s="1"/>
  <c r="B33" i="5"/>
  <c r="C33" i="5" s="1"/>
  <c r="C25" i="6"/>
  <c r="C28" i="6"/>
  <c r="C31" i="6"/>
  <c r="D6" i="7"/>
  <c r="C11" i="7"/>
  <c r="E13" i="7"/>
  <c r="D27" i="7"/>
  <c r="D30" i="7"/>
  <c r="D33" i="7"/>
  <c r="M29" i="8"/>
  <c r="E14" i="9"/>
  <c r="N15" i="4"/>
  <c r="O27" i="4"/>
  <c r="N28" i="4"/>
  <c r="P15" i="4"/>
  <c r="O16" i="4"/>
  <c r="N17" i="4"/>
  <c r="AD25" i="4"/>
  <c r="G83" i="7" s="1"/>
  <c r="P27" i="4"/>
  <c r="O28" i="4"/>
  <c r="N29" i="4"/>
  <c r="AD37" i="4"/>
  <c r="G5" i="5"/>
  <c r="D8" i="6"/>
  <c r="D25" i="6"/>
  <c r="D28" i="6"/>
  <c r="D31" i="6"/>
  <c r="B44" i="6"/>
  <c r="C44" i="6" s="1"/>
  <c r="E6" i="7"/>
  <c r="D11" i="7"/>
  <c r="C16" i="7"/>
  <c r="G88" i="7"/>
  <c r="F14" i="9"/>
  <c r="C32" i="9"/>
  <c r="C35" i="9"/>
  <c r="N16" i="4"/>
  <c r="N5" i="4"/>
  <c r="AD13" i="4"/>
  <c r="G15" i="7" s="1"/>
  <c r="O5" i="4"/>
  <c r="M7" i="4"/>
  <c r="AD14" i="4"/>
  <c r="G32" i="9" s="1"/>
  <c r="P16" i="4"/>
  <c r="O17" i="4"/>
  <c r="M19" i="4"/>
  <c r="AD26" i="4"/>
  <c r="G34" i="9" s="1"/>
  <c r="P28" i="4"/>
  <c r="O29" i="4"/>
  <c r="M31" i="4"/>
  <c r="AD38" i="4"/>
  <c r="D30" i="5"/>
  <c r="C9" i="7"/>
  <c r="E11" i="7"/>
  <c r="G13" i="7"/>
  <c r="D16" i="7"/>
  <c r="B28" i="7"/>
  <c r="B31" i="7"/>
  <c r="B34" i="7"/>
  <c r="B46" i="7"/>
  <c r="B49" i="7"/>
  <c r="C83" i="7"/>
  <c r="C86" i="7"/>
  <c r="B25" i="8"/>
  <c r="G14" i="9"/>
  <c r="E16" i="9"/>
  <c r="D32" i="9"/>
  <c r="D35" i="9"/>
  <c r="P5" i="4"/>
  <c r="N7" i="4"/>
  <c r="M8" i="4"/>
  <c r="AD15" i="4"/>
  <c r="P17" i="4"/>
  <c r="N19" i="4"/>
  <c r="M20" i="4"/>
  <c r="AD27" i="4"/>
  <c r="P29" i="4"/>
  <c r="N31" i="4"/>
  <c r="M32" i="4"/>
  <c r="B6" i="6"/>
  <c r="B9" i="6"/>
  <c r="B26" i="6"/>
  <c r="B29" i="6"/>
  <c r="B32" i="6"/>
  <c r="B45" i="6"/>
  <c r="C45" i="6" s="1"/>
  <c r="D9" i="7"/>
  <c r="C14" i="7"/>
  <c r="E16" i="7"/>
  <c r="C28" i="7"/>
  <c r="C31" i="7"/>
  <c r="C34" i="7"/>
  <c r="D83" i="7"/>
  <c r="D86" i="7"/>
  <c r="D6" i="8"/>
  <c r="E6" i="8" s="1"/>
  <c r="J6" i="8" s="1"/>
  <c r="B47" i="9" s="1"/>
  <c r="D9" i="8"/>
  <c r="E9" i="8" s="1"/>
  <c r="J9" i="8" s="1"/>
  <c r="E5" i="9"/>
  <c r="F16" i="9"/>
  <c r="N27" i="4"/>
  <c r="O15" i="4"/>
  <c r="N8" i="4"/>
  <c r="N20" i="4"/>
  <c r="N32" i="4"/>
  <c r="C9" i="6"/>
  <c r="C26" i="6"/>
  <c r="C29" i="6"/>
  <c r="C32" i="6"/>
  <c r="C7" i="7"/>
  <c r="E9" i="7"/>
  <c r="G11" i="7"/>
  <c r="D14" i="7"/>
  <c r="D28" i="7"/>
  <c r="D31" i="7"/>
  <c r="D34" i="7"/>
  <c r="M25" i="8"/>
  <c r="G16" i="9"/>
  <c r="G35" i="9"/>
  <c r="O8" i="4"/>
  <c r="M10" i="4"/>
  <c r="O20" i="4"/>
  <c r="M22" i="4"/>
  <c r="F29" i="5" s="1"/>
  <c r="O32" i="4"/>
  <c r="M34" i="4"/>
  <c r="D6" i="6"/>
  <c r="D9" i="6"/>
  <c r="D26" i="6"/>
  <c r="D29" i="6"/>
  <c r="D32" i="6"/>
  <c r="B46" i="6"/>
  <c r="C46" i="6" s="1"/>
  <c r="D7" i="7"/>
  <c r="C12" i="7"/>
  <c r="E14" i="7"/>
  <c r="G16" i="7"/>
  <c r="G86" i="7"/>
  <c r="B26" i="8"/>
  <c r="E13" i="9"/>
  <c r="C33" i="9"/>
  <c r="C36" i="9"/>
  <c r="B31" i="5"/>
  <c r="C31" i="5" s="1"/>
  <c r="E7" i="7"/>
  <c r="G9" i="7"/>
  <c r="D12" i="7"/>
  <c r="B26" i="7"/>
  <c r="B29" i="7"/>
  <c r="B32" i="7"/>
  <c r="B35" i="7"/>
  <c r="B47" i="7"/>
  <c r="B50" i="7"/>
  <c r="C84" i="7"/>
  <c r="C87" i="7"/>
  <c r="C26" i="8"/>
  <c r="F13" i="9"/>
  <c r="D33" i="9"/>
  <c r="D36" i="9"/>
  <c r="N22" i="4"/>
  <c r="AF5" i="4"/>
  <c r="O34" i="4"/>
  <c r="N35" i="4"/>
  <c r="B7" i="6"/>
  <c r="B24" i="6"/>
  <c r="B27" i="6"/>
  <c r="B30" i="6"/>
  <c r="B33" i="6"/>
  <c r="C10" i="7"/>
  <c r="E12" i="7"/>
  <c r="G14" i="7"/>
  <c r="C26" i="7"/>
  <c r="C29" i="7"/>
  <c r="C32" i="7"/>
  <c r="C35" i="7"/>
  <c r="D84" i="7"/>
  <c r="D87" i="7"/>
  <c r="D7" i="8"/>
  <c r="E7" i="8" s="1"/>
  <c r="J7" i="8" s="1"/>
  <c r="B48" i="9" s="1"/>
  <c r="D10" i="8"/>
  <c r="M26" i="8"/>
  <c r="G13" i="9"/>
  <c r="E15" i="9"/>
  <c r="N34" i="4"/>
  <c r="O10" i="4"/>
  <c r="N11" i="4"/>
  <c r="O22" i="4"/>
  <c r="N23" i="4"/>
  <c r="P10" i="4"/>
  <c r="M13" i="4"/>
  <c r="P22" i="4"/>
  <c r="M25" i="4"/>
  <c r="P34" i="4"/>
  <c r="M37" i="4"/>
  <c r="C7" i="6"/>
  <c r="C24" i="6"/>
  <c r="C27" i="6"/>
  <c r="C30" i="6"/>
  <c r="C33" i="6"/>
  <c r="D10" i="7"/>
  <c r="C15" i="7"/>
  <c r="D26" i="7"/>
  <c r="D29" i="7"/>
  <c r="D32" i="7"/>
  <c r="D35" i="7"/>
  <c r="D50" i="7"/>
  <c r="B27" i="8"/>
  <c r="F15" i="9"/>
  <c r="G36" i="9"/>
  <c r="N13" i="4"/>
  <c r="N25" i="4"/>
  <c r="N37" i="4"/>
  <c r="C24" i="5"/>
  <c r="B32" i="5"/>
  <c r="C32" i="5" s="1"/>
  <c r="D7" i="6"/>
  <c r="D24" i="6"/>
  <c r="D27" i="6"/>
  <c r="D30" i="6"/>
  <c r="D33" i="6"/>
  <c r="C8" i="7"/>
  <c r="E10" i="7"/>
  <c r="D15" i="7"/>
  <c r="G87" i="7"/>
  <c r="G15" i="9"/>
  <c r="C31" i="9"/>
  <c r="C34" i="9"/>
  <c r="N10" i="4"/>
  <c r="A5" i="5"/>
  <c r="D8" i="7"/>
  <c r="C13" i="7"/>
  <c r="E15" i="7"/>
  <c r="B27" i="7"/>
  <c r="B30" i="7"/>
  <c r="B33" i="7"/>
  <c r="B45" i="7"/>
  <c r="B48" i="7"/>
  <c r="B51" i="7"/>
  <c r="C85" i="7"/>
  <c r="C88" i="7"/>
  <c r="M27" i="8"/>
  <c r="D31" i="9"/>
  <c r="D34" i="9"/>
  <c r="C5" i="5"/>
  <c r="B25" i="6"/>
  <c r="B28" i="6"/>
  <c r="C6" i="7"/>
  <c r="E8" i="7"/>
  <c r="G10" i="7"/>
  <c r="D13" i="7"/>
  <c r="C27" i="7"/>
  <c r="C30" i="7"/>
  <c r="D85" i="7"/>
  <c r="D88" i="7"/>
  <c r="D8" i="8"/>
  <c r="E8" i="8" s="1"/>
  <c r="J8" i="8" s="1"/>
  <c r="B49" i="9" s="1"/>
  <c r="E87" i="7" l="1"/>
  <c r="E29" i="7"/>
  <c r="E35" i="9"/>
  <c r="F10" i="7"/>
  <c r="C13" i="5"/>
  <c r="G33" i="9"/>
  <c r="G84" i="7"/>
  <c r="D31" i="5"/>
  <c r="D33" i="5"/>
  <c r="Y19" i="4"/>
  <c r="G6" i="7"/>
  <c r="Y17" i="4"/>
  <c r="D20" i="5"/>
  <c r="G31" i="9"/>
  <c r="D26" i="5"/>
  <c r="D49" i="7"/>
  <c r="C22" i="5"/>
  <c r="D14" i="5"/>
  <c r="D51" i="7"/>
  <c r="C8" i="6"/>
  <c r="C6" i="6"/>
  <c r="B16" i="5"/>
  <c r="Y24" i="4"/>
  <c r="C45" i="7" s="1"/>
  <c r="F15" i="7"/>
  <c r="C46" i="7"/>
  <c r="E46" i="7" s="1"/>
  <c r="E85" i="7"/>
  <c r="E36" i="9"/>
  <c r="E88" i="7"/>
  <c r="E30" i="7"/>
  <c r="F11" i="7"/>
  <c r="E34" i="9"/>
  <c r="F9" i="7"/>
  <c r="E28" i="7"/>
  <c r="E86" i="7"/>
  <c r="C48" i="7"/>
  <c r="E48" i="7" s="1"/>
  <c r="E32" i="9"/>
  <c r="E26" i="7"/>
  <c r="E84" i="7"/>
  <c r="F7" i="7"/>
  <c r="C47" i="7"/>
  <c r="E47" i="7" s="1"/>
  <c r="F13" i="7"/>
  <c r="E32" i="7"/>
  <c r="C50" i="7"/>
  <c r="E33" i="7"/>
  <c r="F14" i="7"/>
  <c r="E31" i="9"/>
  <c r="C49" i="7"/>
  <c r="E49" i="7" s="1"/>
  <c r="E32" i="6"/>
  <c r="G7" i="7"/>
  <c r="E10" i="8"/>
  <c r="J10" i="8" s="1"/>
  <c r="E31" i="7"/>
  <c r="E83" i="7"/>
  <c r="E33" i="6"/>
  <c r="E26" i="6"/>
  <c r="C25" i="8"/>
  <c r="F6" i="7"/>
  <c r="C27" i="8"/>
  <c r="E27" i="7"/>
  <c r="F20" i="5"/>
  <c r="E28" i="6"/>
  <c r="F15" i="5"/>
  <c r="B17" i="5"/>
  <c r="G8" i="7"/>
  <c r="D32" i="5"/>
  <c r="C51" i="7"/>
  <c r="E51" i="7" s="1"/>
  <c r="B22" i="5"/>
  <c r="F21" i="5"/>
  <c r="D15" i="5"/>
  <c r="C19" i="5"/>
  <c r="B23" i="5"/>
  <c r="G85" i="7"/>
  <c r="F18" i="5"/>
  <c r="D18" i="5"/>
  <c r="C26" i="5"/>
  <c r="E26" i="5" s="1"/>
  <c r="B20" i="5"/>
  <c r="E50" i="7"/>
  <c r="F19" i="5"/>
  <c r="G30" i="5"/>
  <c r="E29" i="6"/>
  <c r="D13" i="5"/>
  <c r="E13" i="5" s="1"/>
  <c r="C17" i="5"/>
  <c r="B21" i="5"/>
  <c r="F16" i="5"/>
  <c r="B18" i="5"/>
  <c r="F17" i="5"/>
  <c r="C15" i="5"/>
  <c r="E15" i="5" s="1"/>
  <c r="B67" i="7"/>
  <c r="B63" i="6"/>
  <c r="D66" i="7"/>
  <c r="E65" i="6"/>
  <c r="E62" i="6"/>
  <c r="C66" i="7"/>
  <c r="D65" i="6"/>
  <c r="D62" i="6"/>
  <c r="B66" i="7"/>
  <c r="C65" i="6"/>
  <c r="C62" i="6"/>
  <c r="D65" i="7"/>
  <c r="B65" i="6"/>
  <c r="B62" i="6"/>
  <c r="C65" i="7"/>
  <c r="E64" i="6"/>
  <c r="B65" i="7"/>
  <c r="D64" i="6"/>
  <c r="D64" i="7"/>
  <c r="C64" i="6"/>
  <c r="C64" i="7"/>
  <c r="B64" i="6"/>
  <c r="B64" i="7"/>
  <c r="E63" i="6"/>
  <c r="D67" i="7"/>
  <c r="D63" i="6"/>
  <c r="C67" i="7"/>
  <c r="C63" i="6"/>
  <c r="B19" i="5"/>
  <c r="G26" i="5"/>
  <c r="E31" i="6"/>
  <c r="F14" i="5"/>
  <c r="C20" i="5"/>
  <c r="E20" i="5" s="1"/>
  <c r="E30" i="6"/>
  <c r="B14" i="5"/>
  <c r="G27" i="5"/>
  <c r="F13" i="5"/>
  <c r="B15" i="5"/>
  <c r="G22" i="5"/>
  <c r="E25" i="6"/>
  <c r="E27" i="6"/>
  <c r="G25" i="5"/>
  <c r="F30" i="5"/>
  <c r="J16" i="9"/>
  <c r="H16" i="9"/>
  <c r="I16" i="9" s="1"/>
  <c r="K16" i="9" s="1"/>
  <c r="B13" i="5"/>
  <c r="G20" i="5"/>
  <c r="E45" i="7"/>
  <c r="C16" i="5"/>
  <c r="E16" i="5" s="1"/>
  <c r="E24" i="6"/>
  <c r="H15" i="9"/>
  <c r="I15" i="9" s="1"/>
  <c r="K15" i="9" s="1"/>
  <c r="J15" i="9"/>
  <c r="G23" i="5"/>
  <c r="D27" i="5"/>
  <c r="G18" i="5"/>
  <c r="G24" i="5"/>
  <c r="C18" i="5"/>
  <c r="E18" i="5" s="1"/>
  <c r="C14" i="5"/>
  <c r="E14" i="5" s="1"/>
  <c r="G21" i="5"/>
  <c r="J13" i="9"/>
  <c r="H13" i="9"/>
  <c r="I13" i="9" s="1"/>
  <c r="K13" i="9" s="1"/>
  <c r="D25" i="5"/>
  <c r="F7" i="6"/>
  <c r="F9" i="6"/>
  <c r="F6" i="6"/>
  <c r="F8" i="6"/>
  <c r="G16" i="5"/>
  <c r="E30" i="5"/>
  <c r="G5" i="9"/>
  <c r="G19" i="5"/>
  <c r="D23" i="5"/>
  <c r="C27" i="5"/>
  <c r="G14" i="5"/>
  <c r="F26" i="5"/>
  <c r="G28" i="5"/>
  <c r="G17" i="5"/>
  <c r="F27" i="5"/>
  <c r="D21" i="5"/>
  <c r="C25" i="5"/>
  <c r="E25" i="5" s="1"/>
  <c r="F24" i="5"/>
  <c r="D24" i="5"/>
  <c r="E24" i="5" s="1"/>
  <c r="G15" i="5"/>
  <c r="F25" i="5"/>
  <c r="D19" i="5"/>
  <c r="C23" i="5"/>
  <c r="B27" i="5"/>
  <c r="F22" i="5"/>
  <c r="G29" i="5"/>
  <c r="B26" i="5"/>
  <c r="D22" i="5"/>
  <c r="E22" i="5" s="1"/>
  <c r="B24" i="5"/>
  <c r="G13" i="5"/>
  <c r="F23" i="5"/>
  <c r="D17" i="5"/>
  <c r="C21" i="5"/>
  <c r="E21" i="5" s="1"/>
  <c r="B25" i="5"/>
  <c r="J14" i="9"/>
  <c r="H14" i="9"/>
  <c r="I14" i="9" s="1"/>
  <c r="K14" i="9" s="1"/>
  <c r="E35" i="7" l="1"/>
  <c r="F16" i="7"/>
  <c r="E27" i="5"/>
  <c r="F8" i="7"/>
  <c r="E33" i="9"/>
  <c r="E23" i="5"/>
  <c r="E17" i="5"/>
  <c r="E19" i="5"/>
</calcChain>
</file>

<file path=xl/sharedStrings.xml><?xml version="1.0" encoding="utf-8"?>
<sst xmlns="http://schemas.openxmlformats.org/spreadsheetml/2006/main" count="1782" uniqueCount="744">
  <si>
    <t>SAFERSEAS Analytics Implementation Guide</t>
  </si>
  <si>
    <t>Formula-driven Excel companion to the mockup using the same dummy dataset and equivalent transferable visuals.</t>
  </si>
  <si>
    <t>Purpose</t>
  </si>
  <si>
    <t>This workbook mirrors the mockup's analytical outputs so a developer can inspect raw data, derived logic, chart helper tables, and policy evidence calculations in Excel.</t>
  </si>
  <si>
    <t>Included workbook sections</t>
  </si>
  <si>
    <t>- Raw_Incidents: source dummy data from the mockup</t>
  </si>
  <si>
    <t>- Lookups: region maps, fallback logic, season order, severity weights</t>
  </si>
  <si>
    <t>- Enriched: formula-driven derived fields used by analytics</t>
  </si>
  <si>
    <t>- Trend / Causal / Exposure / Quality sheets: chart helper tables plus Excel charts</t>
  </si>
  <si>
    <t>- Policy_Brief: policy packets, corridor register, data caveats, methodology notes</t>
  </si>
  <si>
    <t>Not transferred from the mockup</t>
  </si>
  <si>
    <t>The interactive GIS density/cluster map is not reproduced as a native Excel visual. The workbook retains the same underlying coordinates and corridor logic, but not the map interaction layer.</t>
  </si>
  <si>
    <t>Method note</t>
  </si>
  <si>
    <t>Risk Index and Confidence Score are included because the mockup uses them, but both remain working proxies for implementation guidance, not validated operational doctrine.</t>
  </si>
  <si>
    <t>Raw Incident Dataset</t>
  </si>
  <si>
    <t>Direct export of the current SAFERSEAS dummy dataset.</t>
  </si>
  <si>
    <t>Incident ID</t>
  </si>
  <si>
    <t>Incident DateTime</t>
  </si>
  <si>
    <t>Incident Type</t>
  </si>
  <si>
    <t>Casualty Type</t>
  </si>
  <si>
    <t>Severity</t>
  </si>
  <si>
    <t>Vessel Name</t>
  </si>
  <si>
    <t>Former Names</t>
  </si>
  <si>
    <t>Vessel Type</t>
  </si>
  <si>
    <t>Flag State</t>
  </si>
  <si>
    <t>IMO Number</t>
  </si>
  <si>
    <t>Official Number</t>
  </si>
  <si>
    <t>Gross Tonnage</t>
  </si>
  <si>
    <t>Length Meters</t>
  </si>
  <si>
    <t>Breadth Meters</t>
  </si>
  <si>
    <t>Propulsion Type</t>
  </si>
  <si>
    <t>Engine Power kW</t>
  </si>
  <si>
    <t>Classification Society</t>
  </si>
  <si>
    <t>Year Built</t>
  </si>
  <si>
    <t>Latitude</t>
  </si>
  <si>
    <t>Longitude</t>
  </si>
  <si>
    <t>Reference Port</t>
  </si>
  <si>
    <t>Province</t>
  </si>
  <si>
    <t>Sea Area</t>
  </si>
  <si>
    <t>Corridor</t>
  </si>
  <si>
    <t>Wave Height (m)</t>
  </si>
  <si>
    <t>Wind Force</t>
  </si>
  <si>
    <t>Visibility</t>
  </si>
  <si>
    <t>Owner Name</t>
  </si>
  <si>
    <t>Owner Contact</t>
  </si>
  <si>
    <t>Operator Name</t>
  </si>
  <si>
    <t>Operator Address</t>
  </si>
  <si>
    <t>Voyage Origin</t>
  </si>
  <si>
    <t>Voyage Destination</t>
  </si>
  <si>
    <t>Intended Route</t>
  </si>
  <si>
    <t>Cargo Type</t>
  </si>
  <si>
    <t>Cargo Quantity</t>
  </si>
  <si>
    <t>Authority</t>
  </si>
  <si>
    <t>Reporting Method</t>
  </si>
  <si>
    <t>Status</t>
  </si>
  <si>
    <t>Narrative</t>
  </si>
  <si>
    <t>Key Events Timeline</t>
  </si>
  <si>
    <t>Crew Response</t>
  </si>
  <si>
    <t>Crew Behavior Factors</t>
  </si>
  <si>
    <t>Primary Cause</t>
  </si>
  <si>
    <t>Findings Of Cause</t>
  </si>
  <si>
    <t>Damages Incurred</t>
  </si>
  <si>
    <t>Crew Count</t>
  </si>
  <si>
    <t>Passenger Count</t>
  </si>
  <si>
    <t>Fatalities</t>
  </si>
  <si>
    <t>Injuries</t>
  </si>
  <si>
    <t>Recommendations</t>
  </si>
  <si>
    <t>Linked Documents</t>
  </si>
  <si>
    <t>INC-2025-000101</t>
  </si>
  <si>
    <t>Collision</t>
  </si>
  <si>
    <t>Injury</t>
  </si>
  <si>
    <t>Serious</t>
  </si>
  <si>
    <t>MV Pacific Trader</t>
  </si>
  <si>
    <t>MV Eastern Star</t>
  </si>
  <si>
    <t>Bulk Carrier</t>
  </si>
  <si>
    <t>Philippines</t>
  </si>
  <si>
    <t>IMO 9482713</t>
  </si>
  <si>
    <t>PH-2026-7781</t>
  </si>
  <si>
    <t>Diesel engine</t>
  </si>
  <si>
    <t>Bureau Veritas</t>
  </si>
  <si>
    <t>Manila</t>
  </si>
  <si>
    <t>Metro Manila</t>
  </si>
  <si>
    <t>Manila Bay</t>
  </si>
  <si>
    <t>Manila Bay North Approach</t>
  </si>
  <si>
    <t>Moderate</t>
  </si>
  <si>
    <t>Pacific Shipping Lines</t>
  </si>
  <si>
    <t>+63 2 8123 4567</t>
  </si>
  <si>
    <t>Pacific Marine Operations</t>
  </si>
  <si>
    <t>Port Area, Manila, Philippines</t>
  </si>
  <si>
    <t>Subic</t>
  </si>
  <si>
    <t>Subic-Manila inbound traffic lane</t>
  </si>
  <si>
    <t>Bulk cargo</t>
  </si>
  <si>
    <t>18,000 MT cement clinker</t>
  </si>
  <si>
    <t>MARINA</t>
  </si>
  <si>
    <t>Web Portal</t>
  </si>
  <si>
    <t>Published</t>
  </si>
  <si>
    <t>Bulk carrier made contact with a harbor support craft while inbound to Manila Bay under congested traffic conditions.</t>
  </si>
  <si>
    <t>04:02 pilot boarding; 04:18 crossing traffic advisory; 04:25 contact with harbor support craft near approach lane edge.</t>
  </si>
  <si>
    <t>Master reduced speed, sounded danger signal, and coordinated towing assistance for the support craft.</t>
  </si>
  <si>
    <t>Communication Failure | Violation of Procedures</t>
  </si>
  <si>
    <t>Navigation Error</t>
  </si>
  <si>
    <t>Late course alteration in dense approach traffic reduced passing distance below safe margins.</t>
  </si>
  <si>
    <t>Hull Damage | Third-Party Property</t>
  </si>
  <si>
    <t>Reinforce bridge resource management and pilot-master exchange procedures for Manila Bay approaches.</t>
  </si>
  <si>
    <t>AIS Track | Pilot Exchange Form | Photo Log</t>
  </si>
  <si>
    <t>INC-2025-000118</t>
  </si>
  <si>
    <t>Fire/Explosion</t>
  </si>
  <si>
    <t>MT Ocean Star</t>
  </si>
  <si>
    <t>Oil Tanker</t>
  </si>
  <si>
    <t>Singapore</t>
  </si>
  <si>
    <t>IMO 9338894</t>
  </si>
  <si>
    <t>SG-TK-4218</t>
  </si>
  <si>
    <t>Slow-speed marine diesel</t>
  </si>
  <si>
    <t>Lloyd's Register</t>
  </si>
  <si>
    <t>Batangas</t>
  </si>
  <si>
    <t>Verde Island Passage</t>
  </si>
  <si>
    <t>Batangas-Calapan Transit Lane</t>
  </si>
  <si>
    <t>Good</t>
  </si>
  <si>
    <t>Blue Meridian Tankers</t>
  </si>
  <si>
    <t>+65 6712 9088</t>
  </si>
  <si>
    <t>Meridian Offshore Management</t>
  </si>
  <si>
    <t>Jurong Port Road, Singapore</t>
  </si>
  <si>
    <t>Calapan</t>
  </si>
  <si>
    <t>Verde Island Passage east-west corridor</t>
  </si>
  <si>
    <t>Fuel / Oil</t>
  </si>
  <si>
    <t>22,500 barrels marine diesel</t>
  </si>
  <si>
    <t>Inter-agency Intake</t>
  </si>
  <si>
    <t>Under Review</t>
  </si>
  <si>
    <t>Localized purifier room fire was contained while the tanker transited the Verde Island Passage.</t>
  </si>
  <si>
    <t>10:21 purifier alarm; 10:29 fire team deployed; 10:40 fire declared contained and cooling commenced.</t>
  </si>
  <si>
    <t>Engine room fixed system was placed on standby while boundary cooling and isolation procedures were carried out.</t>
  </si>
  <si>
    <t>Inadequate Training</t>
  </si>
  <si>
    <t>Mechanical Failure</t>
  </si>
  <si>
    <t>Fuel leakage from a worn seal ignited on contact with a hot surface inside the purifier room.</t>
  </si>
  <si>
    <t>Equipment Damage</t>
  </si>
  <si>
    <t>Increase purifier seal inspection frequency and require pre-transit machinery readiness checks for tankers.</t>
  </si>
  <si>
    <t>Engine Logbook | Class Survey Note | Chief Engineer Statement</t>
  </si>
  <si>
    <t>INC-2025-000133</t>
  </si>
  <si>
    <t>Grounding</t>
  </si>
  <si>
    <t>MV Island Express</t>
  </si>
  <si>
    <t>Ferry</t>
  </si>
  <si>
    <t>IMO 9134452</t>
  </si>
  <si>
    <t>OFN-55281</t>
  </si>
  <si>
    <t>Twin diesel propulsion</t>
  </si>
  <si>
    <t>Nippon Kaiji Kyokai</t>
  </si>
  <si>
    <t>Cebu</t>
  </si>
  <si>
    <t>Cebu Strait</t>
  </si>
  <si>
    <t>Cebu-Mactan Southern Approach</t>
  </si>
  <si>
    <t>Island Ferry Holdings</t>
  </si>
  <si>
    <t>+63 32 455 1188</t>
  </si>
  <si>
    <t>Island Express Ferries</t>
  </si>
  <si>
    <t>Pier 3, Cebu City, Philippines</t>
  </si>
  <si>
    <t>Ormoc</t>
  </si>
  <si>
    <t>Cebu Strait domestic passenger corridor</t>
  </si>
  <si>
    <t>Passengers</t>
  </si>
  <si>
    <t>187 passengers with accompanied baggage</t>
  </si>
  <si>
    <t>PCG</t>
  </si>
  <si>
    <t>Mobile App</t>
  </si>
  <si>
    <t>Verified</t>
  </si>
  <si>
    <t>Passenger ferry grounded on a shoal after deviating slightly south of the recommended approach track.</t>
  </si>
  <si>
    <t>00:02 departure from Cebu channel; 00:11 track drift observed; 00:15 bottom contact and stop.</t>
  </si>
  <si>
    <t>Crew initiated passenger briefing, checked void spaces, and coordinated tug support before refloating.</t>
  </si>
  <si>
    <t>Violation of Procedures</t>
  </si>
  <si>
    <t>The bridge team did not positively verify the cross-track error before altering toward the terminal approach.</t>
  </si>
  <si>
    <t>Hull Damage</t>
  </si>
  <si>
    <t>Require electronic cross-track alarm checks on high-frequency ferry routes in Cebu Strait.</t>
  </si>
  <si>
    <t>ECDIS Replay | Passenger Manifest | Grounding Sketch</t>
  </si>
  <si>
    <t>INC-2025-000147</t>
  </si>
  <si>
    <t>Person Overboard</t>
  </si>
  <si>
    <t>Fatality</t>
  </si>
  <si>
    <t>MV Visayan Princess</t>
  </si>
  <si>
    <t>Passenger Vessel</t>
  </si>
  <si>
    <t>IMO 9006173</t>
  </si>
  <si>
    <t>PH-PAX-4412</t>
  </si>
  <si>
    <t>Dual diesel propulsion</t>
  </si>
  <si>
    <t>RINA</t>
  </si>
  <si>
    <t>Puerto Princesa</t>
  </si>
  <si>
    <t>Palawan</t>
  </si>
  <si>
    <t>Palawan Approaches</t>
  </si>
  <si>
    <t>Puerto Princesa Western Approach</t>
  </si>
  <si>
    <t>Visayan Coastal Lines</t>
  </si>
  <si>
    <t>+63 32 332 7777</t>
  </si>
  <si>
    <t>Visayan Passenger Shipping</t>
  </si>
  <si>
    <t>North Reclamation Area, Cebu City, Philippines</t>
  </si>
  <si>
    <t>Cuyo</t>
  </si>
  <si>
    <t>West Palawan coastal approach lane</t>
  </si>
  <si>
    <t>126 passengers and light vehicle deck cargo</t>
  </si>
  <si>
    <t>Email Intake</t>
  </si>
  <si>
    <t>Passenger was reported missing shortly after sunset during the western approach to Puerto Princesa.</t>
  </si>
  <si>
    <t>12:40 passenger unaccounted for; 12:47 muster completed; 12:55 Williamson turn commenced and search initiated.</t>
  </si>
  <si>
    <t>Bridge team marked the last-known position, deployed lookouts, and coordinated with the coast station for search support.</t>
  </si>
  <si>
    <t>Fatigue</t>
  </si>
  <si>
    <t>Human Error</t>
  </si>
  <si>
    <t>Open weather deck access combined with delayed detection extended the response timeline.</t>
  </si>
  <si>
    <t>None Reported</t>
  </si>
  <si>
    <t>Strengthen passenger deck surveillance and tighten restricted-area patrol procedures during night sailing.</t>
  </si>
  <si>
    <t>CCTV Still Frames | Search Track Plot | Passenger List</t>
  </si>
  <si>
    <t>INC-2025-000163</t>
  </si>
  <si>
    <t>Sinking</t>
  </si>
  <si>
    <t>Very Serious</t>
  </si>
  <si>
    <t>FB Santa Rosa</t>
  </si>
  <si>
    <t>Fishing Vessel</t>
  </si>
  <si>
    <t>PH-FV-11892</t>
  </si>
  <si>
    <t>Marine diesel</t>
  </si>
  <si>
    <t>Liloan</t>
  </si>
  <si>
    <t>Southern Leyte</t>
  </si>
  <si>
    <t>Surigao Strait</t>
  </si>
  <si>
    <t>Liloan-Surigao Crossing</t>
  </si>
  <si>
    <t>Poor</t>
  </si>
  <si>
    <t>Santa Rosa Fishing Cooperative</t>
  </si>
  <si>
    <t>+63 78 889 2121</t>
  </si>
  <si>
    <t>Aparri Fishing Port, Cagayan, Philippines</t>
  </si>
  <si>
    <t>Surigao</t>
  </si>
  <si>
    <t>Southern Leyte-Surigao strait crossing lane</t>
  </si>
  <si>
    <t>Fish Catch</t>
  </si>
  <si>
    <t>12 MT mixed pelagic catch</t>
  </si>
  <si>
    <t>Manual Encoding</t>
  </si>
  <si>
    <t>Fishing vessel took repeated boarding seas and sank while crossing the eastern edge of the Surigao Strait traffic lane.</t>
  </si>
  <si>
    <t>20:55 weather deterioration reported; 21:10 progressive flooding; 21:20 vessel abandoned and later sank.</t>
  </si>
  <si>
    <t>Crew attempted dewatering and donned lifejackets before abandoning to a nearby banca rescue.</t>
  </si>
  <si>
    <t>Violation of Procedures | Communication Failure</t>
  </si>
  <si>
    <t>Weather Conditions</t>
  </si>
  <si>
    <t>The vessel continued fishing operations despite fresh gale warnings and an overloaded deck condition.</t>
  </si>
  <si>
    <t>Total Loss</t>
  </si>
  <si>
    <t>Tighten heavy-weather departure controls for small fishing vessels operating across Surigao Strait.</t>
  </si>
  <si>
    <t>Weather Advisory | Rescue Timeline | Witness Statements</t>
  </si>
  <si>
    <t>INC-2025-000181</t>
  </si>
  <si>
    <t>Capsizing</t>
  </si>
  <si>
    <t>FB San Miguel</t>
  </si>
  <si>
    <t>PH-FV-8743</t>
  </si>
  <si>
    <t>Davao</t>
  </si>
  <si>
    <t>Davao del Sur</t>
  </si>
  <si>
    <t>Davao Gulf</t>
  </si>
  <si>
    <t>Samal-Davao Pilotage Route</t>
  </si>
  <si>
    <t>San Miguel Fisheries</t>
  </si>
  <si>
    <t>+63 82 225 9167</t>
  </si>
  <si>
    <t>Davao Fish Port, Davao City, Philippines</t>
  </si>
  <si>
    <t>General Santos</t>
  </si>
  <si>
    <t>Davao Gulf northbound merchant lane</t>
  </si>
  <si>
    <t>7 MT tuna and mixed catch</t>
  </si>
  <si>
    <t>Fishing vessel capsized while hauling gear in beam seas near the northern Davao Gulf lane.</t>
  </si>
  <si>
    <t>08:05 hauling operations started; 08:24 deck load shifted; 08:30 capsize and abandonment.</t>
  </si>
  <si>
    <t>Nearby fishing craft recovered survivors while PCG launched a delayed follow-up search.</t>
  </si>
  <si>
    <t>Uneven gear loading and side-on wave exposure caused a rapid loss of stability.</t>
  </si>
  <si>
    <t>Issue stability guidance for ring-net operations and enforce weather-triggered haul suspension in Davao Gulf.</t>
  </si>
  <si>
    <t>Fisheries Permit | Survivor Statement | Search Map</t>
  </si>
  <si>
    <t>INC-2025-000196</t>
  </si>
  <si>
    <t>Property Damage</t>
  </si>
  <si>
    <t>Less Serious</t>
  </si>
  <si>
    <t>MV Samar Venture</t>
  </si>
  <si>
    <t>PH-RORO-5612</t>
  </si>
  <si>
    <t>Twin screw diesel</t>
  </si>
  <si>
    <t>Matnog</t>
  </si>
  <si>
    <t>Sorsogon</t>
  </si>
  <si>
    <t>San Bernardino Strait</t>
  </si>
  <si>
    <t>Matnog-Allen Ferry Transit</t>
  </si>
  <si>
    <t>Eastern Nautical Transport</t>
  </si>
  <si>
    <t>+63 56 812 9951</t>
  </si>
  <si>
    <t>Samar Venture Ferries</t>
  </si>
  <si>
    <t>Matnog Ferry Terminal, Sorsogon, Philippines</t>
  </si>
  <si>
    <t>Allen</t>
  </si>
  <si>
    <t>San Bernardino inter-island ferry route</t>
  </si>
  <si>
    <t>132 passengers and 28 rolling vehicles</t>
  </si>
  <si>
    <t>RoRo ferry brushed a lightering barge while adjusting its lane position in San Bernardino Strait.</t>
  </si>
  <si>
    <t>05:42 overtaking maneuver started; 05:48 barge altered unexpectedly; 05:50 side contact occurred.</t>
  </si>
  <si>
    <t>Master stabilized heading, checked passenger spaces, and escorted the barge clear of the lane.</t>
  </si>
  <si>
    <t>Communication Failure</t>
  </si>
  <si>
    <t>Insufficient passing communication between the RoRo ferry and barge watchkeepers reduced maneuvering margins.</t>
  </si>
  <si>
    <t>Publish overtaking guidance and mandatory bridge-to-bridge phraseology for San Bernardino crossings.</t>
  </si>
  <si>
    <t>VHF Transcript | Damage Photos | Bridge Log</t>
  </si>
  <si>
    <t>INC-2025-000214</t>
  </si>
  <si>
    <t>Machinery Failure</t>
  </si>
  <si>
    <t>None</t>
  </si>
  <si>
    <t>MV Pacific Dream</t>
  </si>
  <si>
    <t>Marshall Islands</t>
  </si>
  <si>
    <t>IMO 9440878</t>
  </si>
  <si>
    <t>MH-BC-3019</t>
  </si>
  <si>
    <t>Slow-speed diesel engine</t>
  </si>
  <si>
    <t>ABS</t>
  </si>
  <si>
    <t>Cagayan de Oro</t>
  </si>
  <si>
    <t>Misamis Oriental</t>
  </si>
  <si>
    <t>Macajalar Bay</t>
  </si>
  <si>
    <t>Macajalar Bay Bulk Access Lane</t>
  </si>
  <si>
    <t>TransPacific Dry Bulk</t>
  </si>
  <si>
    <t>+692 625 9911</t>
  </si>
  <si>
    <t>TransPacific Marine Services</t>
  </si>
  <si>
    <t>Majuro Registry Office</t>
  </si>
  <si>
    <t>Iligan</t>
  </si>
  <si>
    <t>Macajalar Bay industrial shipping lane</t>
  </si>
  <si>
    <t>20,500 MT clinker and steel billets</t>
  </si>
  <si>
    <t>Main engine lube-oil pressure alarm forced the bulk carrier to anchor inside Macajalar Bay.</t>
  </si>
  <si>
    <t>01:18 alarm received; 01:24 engine load reduced; 01:35 emergency anchoring completed.</t>
  </si>
  <si>
    <t>Engineering watch shifted to local control while the master coordinated a safe anchorage with the port authority.</t>
  </si>
  <si>
    <t>A clogged lube-oil filter reduced pressure to a level that triggered protective slowdown.</t>
  </si>
  <si>
    <t>Require lube-oil filter differential pressure logging before arrival in industrial bay approaches.</t>
  </si>
  <si>
    <t>Engine Alarm Printout | Anchorage Position Plot | Chief Engineer Report</t>
  </si>
  <si>
    <t>INC-2025-000229</t>
  </si>
  <si>
    <t>Flooding</t>
  </si>
  <si>
    <t>MV Island Hopper</t>
  </si>
  <si>
    <t>PH-RORO-2024</t>
  </si>
  <si>
    <t>Iloilo</t>
  </si>
  <si>
    <t>Iloilo Strait</t>
  </si>
  <si>
    <t>Iloilo-Guimaras Transit Lane</t>
  </si>
  <si>
    <t>Archipelago Transport Link</t>
  </si>
  <si>
    <t>+63 43 288 5221</t>
  </si>
  <si>
    <t>Calapan Port Complex, Oriental Mindoro, Philippines</t>
  </si>
  <si>
    <t>Bacolod</t>
  </si>
  <si>
    <t>Panay-Negros coastal ferry lane</t>
  </si>
  <si>
    <t>82 passengers and 18 light vehicles</t>
  </si>
  <si>
    <t>Water ingress was detected in a lower void space while the RoRo ferry transited Iloilo Strait.</t>
  </si>
  <si>
    <t>06:49 bilge alarm; 06:57 inspection team dispatched; 07:05 leak source isolated and pumpout started.</t>
  </si>
  <si>
    <t>Crew restricted passenger movement, monitored water level, and completed a controlled return to port.</t>
  </si>
  <si>
    <t>A deteriorated sea chest gasket allowed slow water ingress during repeated docking cycles.</t>
  </si>
  <si>
    <t>Increase seal inspection intervals for high-frequency RoRo ferries operating in short strait passages.</t>
  </si>
  <si>
    <t>Void Space Inspection Sheet | Pump Log | Return-to-Port Notice</t>
  </si>
  <si>
    <t>INC-2025-000246</t>
  </si>
  <si>
    <t>Near Miss</t>
  </si>
  <si>
    <t>MV Cargo Link</t>
  </si>
  <si>
    <t>Container Ship</t>
  </si>
  <si>
    <t>Panama</t>
  </si>
  <si>
    <t>IMO 9291173</t>
  </si>
  <si>
    <t>PA-CS-4421</t>
  </si>
  <si>
    <t>DNV</t>
  </si>
  <si>
    <t>Manila Bay South Approach</t>
  </si>
  <si>
    <t>Cargo Link Asia Ltd.</t>
  </si>
  <si>
    <t>+507 206 8100</t>
  </si>
  <si>
    <t>Cargo Link Shipmanagement</t>
  </si>
  <si>
    <t>Panama City, Panama</t>
  </si>
  <si>
    <t>Batangas-Manila gateway lane</t>
  </si>
  <si>
    <t>Containers</t>
  </si>
  <si>
    <t>1,240 TEU mixed consumer cargo</t>
  </si>
  <si>
    <t>Container ship narrowly avoided contact with a coastal tanker during a crossing situation in southern Manila Bay.</t>
  </si>
  <si>
    <t>16:37 target acquired; 16:42 late course correction; 16:45 minimum CPA recorded at unsafe margin.</t>
  </si>
  <si>
    <t>Bridge team executed a hard-to-starboard maneuver and reported the event as a near miss on arrival.</t>
  </si>
  <si>
    <t>Delayed risk-of-collision assessment reduced the time available for an orderly avoiding action.</t>
  </si>
  <si>
    <t>Introduce near-miss reporting reviews for Manila Bay crossing traffic to capture precursors before collision events.</t>
  </si>
  <si>
    <t>VDR Event Marker | AIS Replay | Master Near-Miss Report</t>
  </si>
  <si>
    <t>INC-2025-000264</t>
  </si>
  <si>
    <t>MV Verde Logistics</t>
  </si>
  <si>
    <t>General Cargo</t>
  </si>
  <si>
    <t>PH-GC-8344</t>
  </si>
  <si>
    <t>ClassNK</t>
  </si>
  <si>
    <t>Verde Coastal Logistics</t>
  </si>
  <si>
    <t>+63 43 723 1180</t>
  </si>
  <si>
    <t>Batangas Port, Batangas, Philippines</t>
  </si>
  <si>
    <t>5,100 MT bagged feed and construction supplies</t>
  </si>
  <si>
    <t>General cargo vessel touched bottom on the edge of a reef patch while crossing the Verde Island Passage.</t>
  </si>
  <si>
    <t>02:58 waypoint alteration; 03:06 depth alarm; 03:10 bottom contact and immediate stop.</t>
  </si>
  <si>
    <t>Master held position, checked tank soundings, and waited for daylight inspection before refloating.</t>
  </si>
  <si>
    <t>The track line entered a charted shallow patch after the bridge team bypassed a route check in calm conditions.</t>
  </si>
  <si>
    <t>Require route verification checkpoints across the Verde Island Passage regardless of weather conditions.</t>
  </si>
  <si>
    <t>Chart Extract | Sounding Report | Post-Refloat Inspection</t>
  </si>
  <si>
    <t>INC-2025-000281</t>
  </si>
  <si>
    <t>MV SuperFerry 12</t>
  </si>
  <si>
    <t>PH-RORO-8455</t>
  </si>
  <si>
    <t>National RoRo Services</t>
  </si>
  <si>
    <t>+63 32 414 9200</t>
  </si>
  <si>
    <t>Cebu Domestic Port, Cebu, Philippines</t>
  </si>
  <si>
    <t>145 passengers and mixed rolling cargo</t>
  </si>
  <si>
    <t>Ferry struck a fixed mooring dolphin while approaching Cebu under a crowded berthing sequence.</t>
  </si>
  <si>
    <t>09:28 inbound queue formed; 09:35 astern movement delayed; 09:40 starboard quarter contact with dolphin.</t>
  </si>
  <si>
    <t>Terminal response teams assisted in mooring while the crew checked passenger areas and vehicle deck securing.</t>
  </si>
  <si>
    <t>The final approach speed remained high for the available berth spacing and tug support was delayed.</t>
  </si>
  <si>
    <t>Review final-approach speed limits and berth sequencing controls for Cebu domestic ferry terminals.</t>
  </si>
  <si>
    <t>Berth CCTV | Port VTS Log | Damage Assessment</t>
  </si>
  <si>
    <t>INC-2025-000295</t>
  </si>
  <si>
    <t>Tagbilaran</t>
  </si>
  <si>
    <t>Bohol</t>
  </si>
  <si>
    <t>Bohol Sea</t>
  </si>
  <si>
    <t>Cebu-Bohol Passenger Corridor</t>
  </si>
  <si>
    <t>Cebu-Tagbilaran inter-island service lane</t>
  </si>
  <si>
    <t>RoRo ferry developed flooding in a vehicle deck compartment during a Bohol Sea crossing.</t>
  </si>
  <si>
    <t>13:55 spray ingress noticed; 14:04 compartment alarm; 14:12 dewatering and speed reduction initiated.</t>
  </si>
  <si>
    <t>Crew closed deck openings, shifted vehicles, and stabilized the vessel before proceeding under escort.</t>
  </si>
  <si>
    <t>A degraded deck drain and unsecured ramp seal allowed water to accumulate during head seas.</t>
  </si>
  <si>
    <t>Increase ramp and drain inspection frequency on Bohol Sea RoRo services during monsoon periods.</t>
  </si>
  <si>
    <t>Ramp Seal Inspection | Vehicle Deck Photos | Escort Clearance</t>
  </si>
  <si>
    <t>INC-2025-000317</t>
  </si>
  <si>
    <t>MT Southern Crest</t>
  </si>
  <si>
    <t>IMO 9612259</t>
  </si>
  <si>
    <t>SG-TK-5517</t>
  </si>
  <si>
    <t>Southern Crest Tankers</t>
  </si>
  <si>
    <t>+65 6883 5500</t>
  </si>
  <si>
    <t>Crest Offshore Management</t>
  </si>
  <si>
    <t>Anson Road, Singapore</t>
  </si>
  <si>
    <t>18,000 barrels bunker fuel</t>
  </si>
  <si>
    <t>Tanker made glancing contact with a coastal cargo vessel in rain clutter inside Surigao Strait.</t>
  </si>
  <si>
    <t>22:48 rain cell entered radar arc; 22:59 crossing target confusion reported; 23:05 contact occurred.</t>
  </si>
  <si>
    <t>Master reduced speed, separated from traffic, and completed pollution prevention checks before proceeding.</t>
  </si>
  <si>
    <t>Communication Failure | Fatigue</t>
  </si>
  <si>
    <t>Radar interpretation degraded in heavy rain and voice coordination between bridges was incomplete.</t>
  </si>
  <si>
    <t>Issue rain-clutter bridge guidance and bridge manning reinforcement requirements for Surigao Strait transits.</t>
  </si>
  <si>
    <t>Radar Screenshot | VHF Transcript | Pollution Prevention Check</t>
  </si>
  <si>
    <t>INC-2025-000336</t>
  </si>
  <si>
    <t>Pollution Incident</t>
  </si>
  <si>
    <t>Pollution</t>
  </si>
  <si>
    <t>Minor sheen was observed astern of the tanker while inbound to Puerto Princesa anchorage.</t>
  </si>
  <si>
    <t>06:03 sheen first reported; 06:11 deck inspection started; 06:18 transfer line leak identified and isolated.</t>
  </si>
  <si>
    <t>Crew suspended transfer preparations, deployed absorbent boom, and coordinated with the port response team.</t>
  </si>
  <si>
    <t>A loose transfer line coupling allowed residual product to escape during pre-berthing checks.</t>
  </si>
  <si>
    <t>Environmental Impact</t>
  </si>
  <si>
    <t>Mandate tighter pre-berthing hose and coupling checks for tankers entering Palawan anchorages.</t>
  </si>
  <si>
    <t>Sheen Photo Log | Port Response Report | Transfer Line Inspection</t>
  </si>
  <si>
    <t>INC-2025-000352</t>
  </si>
  <si>
    <t>MV Eastern Mariner</t>
  </si>
  <si>
    <t>Liberia</t>
  </si>
  <si>
    <t>IMO 9384451</t>
  </si>
  <si>
    <t>LR-CS-6921</t>
  </si>
  <si>
    <t>Eastern Gateway Shipping</t>
  </si>
  <si>
    <t>+231 770 552118</t>
  </si>
  <si>
    <t>Gateway Marine Management</t>
  </si>
  <si>
    <t>Monrovia Registry Office</t>
  </si>
  <si>
    <t>1,480 TEU mixed retail cargo</t>
  </si>
  <si>
    <t>Container ship experienced steering gear lag while aligning for pilot boarding inside Davao Gulf.</t>
  </si>
  <si>
    <t>02:36 response lag noticed; 02:40 manual steering engaged; 02:44 redundancy checks completed.</t>
  </si>
  <si>
    <t>Bridge and engine teams shifted to standby steering mode and postponed pilot boarding until tests were complete.</t>
  </si>
  <si>
    <t>Hydraulic pressure fluctuation inside the steering gear control loop caused delayed helm response.</t>
  </si>
  <si>
    <t>Require steering gear redundancy checks before pilot boarding in constrained gulf approaches.</t>
  </si>
  <si>
    <t>Steering Gear Alarm Printout | Pilot Delay Notice | Engineering Test Sheet</t>
  </si>
  <si>
    <t>INC-2025-000371</t>
  </si>
  <si>
    <t>Swamping</t>
  </si>
  <si>
    <t>MV Strait Guardian</t>
  </si>
  <si>
    <t>PH-GC-9194</t>
  </si>
  <si>
    <t>Strait Guardian Shipping</t>
  </si>
  <si>
    <t>+63 56 851 3910</t>
  </si>
  <si>
    <t>Guardian Coastal Freight</t>
  </si>
  <si>
    <t>Allen Port, Northern Samar, Philippines</t>
  </si>
  <si>
    <t>4,200 MT aggregates and construction equipment</t>
  </si>
  <si>
    <t>General cargo vessel was overwhelmed by repeated green water over the bow and lost stability in San Bernardino Strait.</t>
  </si>
  <si>
    <t>18:33 heavy weather warning repeated; 18:47 forward deck flooding; 18:52 loss of stability and partial abandonment.</t>
  </si>
  <si>
    <t>Crew attempted to secure deck cargo and dewater holds before distress traffic was transmitted.</t>
  </si>
  <si>
    <t>Improper deck cargo securing and a late decision to seek shelter left the vessel exposed to heavy seas.</t>
  </si>
  <si>
    <t>Hull Damage | Cargo Damage</t>
  </si>
  <si>
    <t>Issue deck cargo securing advisories and enforce weather rerouting for small cargo vessels in San Bernardino Strait.</t>
  </si>
  <si>
    <t>Cargo Securing Photos | Weather Bulletin | Distress Log</t>
  </si>
  <si>
    <t>INC-2025-000389</t>
  </si>
  <si>
    <t>Bulk carrier contacted a berth fender line and nearby service craft while shifting inside Macajalar Bay.</t>
  </si>
  <si>
    <t>10:58 berth shift commenced; 11:05 astern propulsion delayed; 11:10 contact with service craft.</t>
  </si>
  <si>
    <t>Bridge team stopped the shift, checked for pollution risk, and resumed only after harbor master clearance.</t>
  </si>
  <si>
    <t>Conflicting tug and berth instructions caused a late correction during low-speed maneuvering.</t>
  </si>
  <si>
    <t>Third-Party Property | Hull Damage</t>
  </si>
  <si>
    <t>Standardize tug-master-harbor communication procedures during industrial berth shifts in Macajalar Bay.</t>
  </si>
  <si>
    <t>Harbor Master Note | Shift Plan | Service Craft Damage Report</t>
  </si>
  <si>
    <t>INC-2025-000406</t>
  </si>
  <si>
    <t>General cargo vessel allided with a navigation buoy while crossing Iloilo Strait at night.</t>
  </si>
  <si>
    <t>22:17 outbound lane entered; 22:24 buoy light confusion reported; 22:28 allision recorded.</t>
  </si>
  <si>
    <t>Crew corrected track immediately and checked forepeak spaces before completing transit at reduced speed.</t>
  </si>
  <si>
    <t>A fatigued watch team misidentified buoy characteristics and stood too close to the channel edge.</t>
  </si>
  <si>
    <t>Review night navigation watch rotations and channel-mark identification guidance for Iloilo Strait transits.</t>
  </si>
  <si>
    <t>Buoy Maintenance Photo | Watch Schedule | Track Plot</t>
  </si>
  <si>
    <t>INC-2025-000422</t>
  </si>
  <si>
    <t>Bulk carrier collided with a fishing vessel at the edge of the Manila Bay north approach under patchy visibility.</t>
  </si>
  <si>
    <t>13:18 visibility reduced; 13:29 small target lost in clutter; 13:35 collision with fishing vessel.</t>
  </si>
  <si>
    <t>Rescue boats were deployed immediately while the master stabilized the vessel and informed VTS.</t>
  </si>
  <si>
    <t>Inadequate lookout reinforcement during poor visibility led to late detection of the fishing vessel crossing ahead.</t>
  </si>
  <si>
    <t>Require heightened lookout manning and fishing-vessel crossing advisories in Manila Bay during reduced visibility.</t>
  </si>
  <si>
    <t>VTS Playback | Rescue Summary | Fishing Vessel Statement</t>
  </si>
  <si>
    <t>INC-2025-000441</t>
  </si>
  <si>
    <t>Pump room explosion injured multiple crew while the tanker transited a busy section of the Verde Island Passage.</t>
  </si>
  <si>
    <t>17:33 gas readings abnormal; 17:38 transfer line investigation; 17:42 flash explosion and compartment isolation.</t>
  </si>
  <si>
    <t>Damage control teams sealed the space, treated casualties, and diverted the vessel clear of dense traffic.</t>
  </si>
  <si>
    <t>Inadequate Training | Violation of Procedures</t>
  </si>
  <si>
    <t>Vapor accumulation in the pump room ignited after a maintenance bypass left unsafe conditions uncorrected.</t>
  </si>
  <si>
    <t>Equipment Damage | Hull Damage</t>
  </si>
  <si>
    <t>Strengthen enclosed-space gas monitoring and maintenance authorization controls for tankers in high-traffic corridors.</t>
  </si>
  <si>
    <t>Gas Meter Log | Pump Room Inspection | Medical Evacuation Record</t>
  </si>
  <si>
    <t>INC-2025-000458</t>
  </si>
  <si>
    <t>Passenger ferry reported a near-miss crossing event with an outbound coaster near the Mactan approach.</t>
  </si>
  <si>
    <t>04:49 coaster acquired; 04:55 CPA reduced rapidly; 04:58 avoiding action passed clear with no contact.</t>
  </si>
  <si>
    <t>Master filed a near-miss report on arrival and requested review of crossing traffic sequencing.</t>
  </si>
  <si>
    <t>Neither bridge established timely passing intentions despite converging tracks near a terminal approach.</t>
  </si>
  <si>
    <t>Use near-miss reporting to refine crossing management and VHF discipline in Cebu Strait.</t>
  </si>
  <si>
    <t>Near-Miss Report | AIS Replay | Bridge Watch Statement</t>
  </si>
  <si>
    <t>INC-2025-000476</t>
  </si>
  <si>
    <t>FB Dona Pilar</t>
  </si>
  <si>
    <t>PH-FV-2201</t>
  </si>
  <si>
    <t>Pilar Deep Sea Ventures</t>
  </si>
  <si>
    <t>+63 53 834 4482</t>
  </si>
  <si>
    <t>Surigao Fishing Port, Surigao City, Philippines</t>
  </si>
  <si>
    <t>8 MT pelagic catch and fishing gear</t>
  </si>
  <si>
    <t>Small fishing vessel capsized after hauling a heavy catch close to the Surigao crossing lane.</t>
  </si>
  <si>
    <t>08:58 gear hauling started; 09:11 heel increased rapidly; 09:16 capsize and rescue by nearby banca.</t>
  </si>
  <si>
    <t>Survivors clung to overturned hull until they were recovered by companion fishing craft.</t>
  </si>
  <si>
    <t>Combined weight shift and quartering seas reduced stability below safe limits during hauling.</t>
  </si>
  <si>
    <t>Promote safe hauling envelopes and weather-go/no-go guidance for small fishing craft near Surigao Strait.</t>
  </si>
  <si>
    <t>Catch Log | Survivor Interview | Rescue Boat Track</t>
  </si>
  <si>
    <t>INC-2026-000021</t>
  </si>
  <si>
    <t>Fishing vessel collided with a fast coastal passenger craft near the Puerto Princesa western approach.</t>
  </si>
  <si>
    <t>14:20 crossing target sighted; 14:29 horn signal exchanged late; 14:32 contact on fishing vessel stern quarter.</t>
  </si>
  <si>
    <t>Passenger craft recovered injured fishermen and escorted the damaged vessel toward sheltered water.</t>
  </si>
  <si>
    <t>Both craft relied on visual passing assumptions without clear early communication of intentions.</t>
  </si>
  <si>
    <t>Increase small-craft and passenger-craft separation guidance in Puerto Princesa approaches.</t>
  </si>
  <si>
    <t>Damage Photos | Passenger Craft Statement | Rescue Coordination Log</t>
  </si>
  <si>
    <t>INC-2026-000044</t>
  </si>
  <si>
    <t>Container ship brushed soft bottom while aligning with the pilot boarding lane in Davao Gulf.</t>
  </si>
  <si>
    <t>02:13 pilot boarding delayed; 02:19 drift developed; 02:21 soft grounding and immediate engine stop.</t>
  </si>
  <si>
    <t>Vessel refloated on the next tide after draft checks confirmed no progressive damage.</t>
  </si>
  <si>
    <t>The vessel remained too close to the shallow lane edge while waiting for pilot instructions.</t>
  </si>
  <si>
    <t>Refine waiting area guidance and pilot boarding tracks for deep-draft arrivals in Davao Gulf.</t>
  </si>
  <si>
    <t>Draft Survey | Pilot Boarding Record | Track Plot</t>
  </si>
  <si>
    <t>INC-2026-000062</t>
  </si>
  <si>
    <t>RoRo ferry lost one propulsion line while transiting the central San Bernardino Strait lane.</t>
  </si>
  <si>
    <t>19:37 abnormal vibration noted; 19:44 shaft protection trip; 19:48 reduced maneuverability declared.</t>
  </si>
  <si>
    <t>Crew secured passengers, deployed standby anchors, and received escort from a coast guard patrol craft.</t>
  </si>
  <si>
    <t>A bearing lubrication fault caused rapid overheating and forced shutdown of one propulsion train.</t>
  </si>
  <si>
    <t>Review propulsion redundancy procedures and escort readiness for San Bernardino ferry services.</t>
  </si>
  <si>
    <t>Propulsion Alarm Log | Escort Dispatch Sheet | Passenger Advisory</t>
  </si>
  <si>
    <t>INC-2026-000083</t>
  </si>
  <si>
    <t>Cargo pump motor fire escalated during pre-discharge checks at the outer Macajalar Bay anchorage.</t>
  </si>
  <si>
    <t>05:43 electrical fault warning; 05:52 smoke observed; 05:57 localized fire and emergency shutdown.</t>
  </si>
  <si>
    <t>Fire team deployed breathing apparatus, isolated electrical feeds, and prevented escalation to cargo spaces.</t>
  </si>
  <si>
    <t>Poor cable insulation and delayed isolation of the faulty motor allowed a localized fire to intensify.</t>
  </si>
  <si>
    <t>Tighten electrical integrity inspections for tankers preparing for discharge at industrial anchorages.</t>
  </si>
  <si>
    <t>Motor Inspection Report | Fire Boundary Cooling Log | Anchorage Safety Notice</t>
  </si>
  <si>
    <t>INC-2026-000101</t>
  </si>
  <si>
    <t>Bulk carrier struck a wooden fishing vessel south of Corregidor while inbound through the Manila Bay gateway.</t>
  </si>
  <si>
    <t>06:22 low visibility advisory; 06:34 radar target correlation failed; 06:40 collision and immediate rescue operations.</t>
  </si>
  <si>
    <t>Crew launched rescue boats, reported the casualty to VTS, and suspended the approach to preserve the incident scene.</t>
  </si>
  <si>
    <t>Reduced visibility, incomplete small-target detection, and late speed reduction materially contributed to the collision.</t>
  </si>
  <si>
    <t>Introduce fishing-vessel density advisories and stricter reduced-visibility transit controls for Manila Bay approaches.</t>
  </si>
  <si>
    <t>Scene Photos | AIS Playback | Rescue Timeline</t>
  </si>
  <si>
    <t>INC-2026-000118</t>
  </si>
  <si>
    <t>Passenger went overboard during afternoon transit between Cebu and Tagbilaran.</t>
  </si>
  <si>
    <t>14:56 seat check raised concern; 15:02 deck search started; 15:08 man overboard maneuver initiated.</t>
  </si>
  <si>
    <t>Crew deployed rings, plotted drift, and coordinated nearby merchant traffic to widen the search box.</t>
  </si>
  <si>
    <t>Delayed detection and insufficient control of open deck areas prolonged the response timeline.</t>
  </si>
  <si>
    <t>Increase deck patrol frequency and passenger safety messaging on open-deck ferry routes in the Bohol Sea.</t>
  </si>
  <si>
    <t>Muster Checklist | Drift Calculation | Passenger Interview Notes</t>
  </si>
  <si>
    <t>INC-2026-000134</t>
  </si>
  <si>
    <t>Repeat flooding event was recorded on a RoRo ferry during another short-haul Iloilo Strait service.</t>
  </si>
  <si>
    <t>07:20 spray ingress noted; 07:27 compartment rechecked; 07:31 pumps contained the ingress rate.</t>
  </si>
  <si>
    <t>Crew returned to Iloilo for inspection before resuming service later in the day with reduced vehicle loading.</t>
  </si>
  <si>
    <t>Deferred maintenance on a recurring seal issue allowed the defect to reappear under routine service conditions.</t>
  </si>
  <si>
    <t>Use repeat-defect tracking to suspend vessels from service until recurring flooding defects are fully corrected.</t>
  </si>
  <si>
    <t>Repeat Defect Log | Repair Order | Service Suspension Note</t>
  </si>
  <si>
    <t>INC-2026-000149</t>
  </si>
  <si>
    <t>General cargo vessel grounded again near the eastern Verde Passage after a night transit route deviation.</t>
  </si>
  <si>
    <t>23:41 route amendment requested; 23:52 shallow-water alarm; 23:58 grounding and engine stop.</t>
  </si>
  <si>
    <t>Bridge team initiated soundings, contacted nearby traffic, and waited for daylight salvage assessment.</t>
  </si>
  <si>
    <t>Violation of Procedures | Fatigue</t>
  </si>
  <si>
    <t>The bridge team bypassed a route cross-check and relied on visual shoreline cues during night transit.</t>
  </si>
  <si>
    <t>Flag repeat grounding patterns in the Verde Passage and prioritize night-navigation compliance inspections.</t>
  </si>
  <si>
    <t>Night Track Replay | Sounding Log | Salvage Assessment</t>
  </si>
  <si>
    <t>INC-2026-000164</t>
  </si>
  <si>
    <t>Fishing vessel capsized during squall conditions near the eastern edge of the Davao Gulf pilotage route.</t>
  </si>
  <si>
    <t>11:28 squall line entered gulf; 11:39 heavy heel reported; 11:44 capsize and distress call lost.</t>
  </si>
  <si>
    <t>Companion vessels commenced local search before formal SAR units arrived from Davao.</t>
  </si>
  <si>
    <t>The vessel remained underway in a fast-moving squall despite available shelter inside the gulf.</t>
  </si>
  <si>
    <t>Strengthen squall-warning dissemination and sheltering procedures for small craft inside Davao Gulf.</t>
  </si>
  <si>
    <t>Squall Advisory | SAR Log | Survivor Debrief</t>
  </si>
  <si>
    <t>INC-2026-000183</t>
  </si>
  <si>
    <t>Passenger vessel struck a small inter-island cargo craft while overtaking south of Mactan.</t>
  </si>
  <si>
    <t>03:24 overtaking initiated; 03:31 cargo craft altered slightly; 03:36 side contact and stoppage.</t>
  </si>
  <si>
    <t>Both vessels separated safely and the passenger vessel rendered assistance before resuming escorted transit.</t>
  </si>
  <si>
    <t>Late overtaking communication and insufficient passing distance led to side contact in confined water.</t>
  </si>
  <si>
    <t>Review overtaking practices and mandatory reporting points for mixed traffic in Cebu Strait.</t>
  </si>
  <si>
    <t>Overtaking Report | Port Control Recording | Damage Survey</t>
  </si>
  <si>
    <t>INC-2026-000207</t>
  </si>
  <si>
    <t>Container ship lost one generator set while queueing in the Manila Bay north approach anchorage lane.</t>
  </si>
  <si>
    <t>19:58 electrical load fluctuation; 20:05 generator trip; 20:09 redundancy restored and anchorage maintained.</t>
  </si>
  <si>
    <t>Engineering watch redistributed loads and deferred movement until shore support cleared the vessel to continue.</t>
  </si>
  <si>
    <t>Fuel contamination caused unstable generator performance under anchorage hotel load conditions.</t>
  </si>
  <si>
    <t>Require fuel quality and standby-power checks for container vessels awaiting entry into Manila Bay.</t>
  </si>
  <si>
    <t>Generator Alarm Log | Fuel Sample Note | Anchorage Clearance</t>
  </si>
  <si>
    <t>Lookup Tables</t>
  </si>
  <si>
    <t>Model assumptions and categorical mappings mirrored from the mockup logic.</t>
  </si>
  <si>
    <t>Province to Region</t>
  </si>
  <si>
    <t>Fallback Cause by Incident Type</t>
  </si>
  <si>
    <t>Fallback Behavior by Cause</t>
  </si>
  <si>
    <t>Fallback Cargo by Vessel Type</t>
  </si>
  <si>
    <t>Fallback Year Built by Vessel Type</t>
  </si>
  <si>
    <t>Severity Weights</t>
  </si>
  <si>
    <t>Season Order</t>
  </si>
  <si>
    <t>Visibility Order</t>
  </si>
  <si>
    <t>Region</t>
  </si>
  <si>
    <t>Fallback Cause</t>
  </si>
  <si>
    <t>Cause</t>
  </si>
  <si>
    <t>Fallback Behavior</t>
  </si>
  <si>
    <t>Fallback Cargo</t>
  </si>
  <si>
    <t>Fallback Year Built</t>
  </si>
  <si>
    <t>Weight</t>
  </si>
  <si>
    <t>Color</t>
  </si>
  <si>
    <t>Northeast Monsoon</t>
  </si>
  <si>
    <t>Luzon</t>
  </si>
  <si>
    <t>#991B1B</t>
  </si>
  <si>
    <t>Transition Season</t>
  </si>
  <si>
    <t>#DC2626</t>
  </si>
  <si>
    <t>Southwest Monsoon</t>
  </si>
  <si>
    <t>Visayas</t>
  </si>
  <si>
    <t>#F97316</t>
  </si>
  <si>
    <t>Typhoon Season</t>
  </si>
  <si>
    <t>Very Poor</t>
  </si>
  <si>
    <t>Fatigue | Violation of Procedures</t>
  </si>
  <si>
    <t>#F59E0B</t>
  </si>
  <si>
    <t>Albay</t>
  </si>
  <si>
    <t>Under Investigation</t>
  </si>
  <si>
    <t>Bulk Cargo</t>
  </si>
  <si>
    <t>Mindanao</t>
  </si>
  <si>
    <t>Leyte</t>
  </si>
  <si>
    <t>Cagayan</t>
  </si>
  <si>
    <t>Oriental Mindoro</t>
  </si>
  <si>
    <t>Enriched Incident Model</t>
  </si>
  <si>
    <t>Formula-driven transformation layer matching the mockup's derived analytics fields.</t>
  </si>
  <si>
    <t>Sea Area Resolved</t>
  </si>
  <si>
    <t>Corridor Resolved</t>
  </si>
  <si>
    <t>Month Label</t>
  </si>
  <si>
    <t>Month Key</t>
  </si>
  <si>
    <t>Year</t>
  </si>
  <si>
    <t>Season</t>
  </si>
  <si>
    <t>Primary Cause Resolved</t>
  </si>
  <si>
    <t>Crew Behavior Factors Resolved</t>
  </si>
  <si>
    <t>Cargo Type Resolved</t>
  </si>
  <si>
    <t>Vessel Age Years</t>
  </si>
  <si>
    <t>Casualty Count</t>
  </si>
  <si>
    <t>Severity Weight</t>
  </si>
  <si>
    <t>Risk Index</t>
  </si>
  <si>
    <t>Registry ID Captured</t>
  </si>
  <si>
    <t>Voyage Captured</t>
  </si>
  <si>
    <t>Weather Captured</t>
  </si>
  <si>
    <t>Route Label</t>
  </si>
  <si>
    <t>Standardization Score</t>
  </si>
  <si>
    <t>Linked Evidence Flag</t>
  </si>
  <si>
    <t>Review Matured Flag</t>
  </si>
  <si>
    <t>Trend and Summary Analytics</t>
  </si>
  <si>
    <t>Excel equivalent of the mockup's overview and trend visuals.</t>
  </si>
  <si>
    <t>Incident Records</t>
  </si>
  <si>
    <t>High-Consequence Cases</t>
  </si>
  <si>
    <t>Maritime Corridors</t>
  </si>
  <si>
    <t>Linked Evidence Coverage</t>
  </si>
  <si>
    <t>Historical files in the evidence base</t>
  </si>
  <si>
    <t>Very serious or multi-casualty cases</t>
  </si>
  <si>
    <t>Distinct corridors represented in the model</t>
  </si>
  <si>
    <t>Records with cited attachments or evidence</t>
  </si>
  <si>
    <t>Monthly Incident and Casualty Trend</t>
  </si>
  <si>
    <t>Period</t>
  </si>
  <si>
    <t>Incidents</t>
  </si>
  <si>
    <t>Casualties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</si>
  <si>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</si>
  <si>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</si>
  <si>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</si>
  <si>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</si>
  <si>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</si>
  <si>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</si>
  <si>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</si>
  <si>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</si>
  <si>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</si>
  <si>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</si>
  <si>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</si>
  <si>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</si>
  <si>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</si>
  <si>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</si>
  <si>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</si>
  <si>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Consequence Profile by Severity</t>
  </si>
  <si>
    <t>Records</t>
  </si>
  <si>
    <t>Percentage</t>
  </si>
  <si>
    <t>Causal and Consequence Analysis</t>
  </si>
  <si>
    <t>Excel equivalents of cause, casualty, human-factor, and seasonal interaction views.</t>
  </si>
  <si>
    <t>Causal Pareto View</t>
  </si>
  <si>
    <t>Corridors Affected</t>
  </si>
  <si>
    <t>Cumulative %</t>
  </si>
  <si>
    <t>Casualty Burden by Incident Type</t>
  </si>
  <si>
    <t>Human-Factor Signals</t>
  </si>
  <si>
    <t>Behavior Factor</t>
  </si>
  <si>
    <t>Count</t>
  </si>
  <si>
    <t>Share %</t>
  </si>
  <si>
    <t>Season and Visibility Interaction</t>
  </si>
  <si>
    <t>Note</t>
  </si>
  <si>
    <t>The mockup used a matrix here because seasonal pressure by visibility band is easier to scan than another line or bar chart.</t>
  </si>
  <si>
    <t>Maritime Exposure Analysis</t>
  </si>
  <si>
    <t>Corridor, sea area, vessel class, and seasonal operating pressure views.</t>
  </si>
  <si>
    <t>Corridor Risk Ranking</t>
  </si>
  <si>
    <t>Avg. Completeness</t>
  </si>
  <si>
    <t>Sea Area Exposure</t>
  </si>
  <si>
    <t>Vessel Class Exposure</t>
  </si>
  <si>
    <t>Record Count</t>
  </si>
  <si>
    <t>Severity Index</t>
  </si>
  <si>
    <t>Seasonal Operating Pressure</t>
  </si>
  <si>
    <t>Priority Corridor Review Table</t>
  </si>
  <si>
    <t>Dominant Cause</t>
  </si>
  <si>
    <t>Evidence Quality Analysis</t>
  </si>
  <si>
    <t>Completeness, workflow maturity, and reporting-channel views.</t>
  </si>
  <si>
    <t>Critical Gaps for Policy Use</t>
  </si>
  <si>
    <t>Metric</t>
  </si>
  <si>
    <t>Description</t>
  </si>
  <si>
    <t>Captured</t>
  </si>
  <si>
    <t>Total</t>
  </si>
  <si>
    <t>Coverage %</t>
  </si>
  <si>
    <t>Registry identifiers</t>
  </si>
  <si>
    <t>IMO number or official number captured</t>
  </si>
  <si>
    <t>Voyage and route details</t>
  </si>
  <si>
    <t>Origin, destination, and route context documented</t>
  </si>
  <si>
    <t>Weather observations</t>
  </si>
  <si>
    <t>Wave height, wind force, and visibility present</t>
  </si>
  <si>
    <t>Cause findings</t>
  </si>
  <si>
    <t>Primary cause and findings documented</t>
  </si>
  <si>
    <t>Linked evidence</t>
  </si>
  <si>
    <t>Attachments or supporting documents referenced</t>
  </si>
  <si>
    <t>Ownership and operator</t>
  </si>
  <si>
    <t>Accountable entity information available</t>
  </si>
  <si>
    <t>Reporting Pathways</t>
  </si>
  <si>
    <t>Policy Brief and Evidence Packets</t>
  </si>
  <si>
    <t>Excel equivalent of the mockup's policy page, grounded in formula-driven evidence tables.</t>
  </si>
  <si>
    <t>Top Corridor at Risk</t>
  </si>
  <si>
    <t>Leading Repeat Cause</t>
  </si>
  <si>
    <t>Small-Craft Weather Records</t>
  </si>
  <si>
    <t>Avg. Evidence Completeness</t>
  </si>
  <si>
    <t>Highest-risk corridor from the exposure sheet</t>
  </si>
  <si>
    <t>Top cause from the Pareto table</t>
  </si>
  <si>
    <t>Fishing-vessel weather cases in the model</t>
  </si>
  <si>
    <t>Overall completeness across enriched records</t>
  </si>
  <si>
    <t>Evidence Packages for Immediate Action</t>
  </si>
  <si>
    <t>Title</t>
  </si>
  <si>
    <t>Priority</t>
  </si>
  <si>
    <t>Instrument</t>
  </si>
  <si>
    <t>Lead</t>
  </si>
  <si>
    <t>Supporting Records</t>
  </si>
  <si>
    <t>Confidence Score</t>
  </si>
  <si>
    <t>Confidence Label</t>
  </si>
  <si>
    <t>Evidence Summary</t>
  </si>
  <si>
    <t>Confidence Note</t>
  </si>
  <si>
    <t>Recommended Action</t>
  </si>
  <si>
    <t>Traffic and separation controls in Batangas-Calapan Transit Lane</t>
  </si>
  <si>
    <t>High</t>
  </si>
  <si>
    <t>Corridor management circular</t>
  </si>
  <si>
    <t>MARINA / PCG / Port authorities</t>
  </si>
  <si>
    <t>Prioritize lane discipline, small-craft separation, and approach-control guidance in the highest-risk corridor.</t>
  </si>
  <si>
    <t>Navigation-error reduction through bridge procedure enforcement</t>
  </si>
  <si>
    <t>Bridge procedure advisory</t>
  </si>
  <si>
    <t>MARINA / PCG / Shipping operators</t>
  </si>
  <si>
    <t>Target bridge communication, lookout reinforcement, and route cross-checking requirements where navigation error recurs.</t>
  </si>
  <si>
    <t>Small-craft weather protection for fishing operations</t>
  </si>
  <si>
    <t>Small-craft safety advisory</t>
  </si>
  <si>
    <t>PCG / BFAR / Local port authorities</t>
  </si>
  <si>
    <t>Strengthen go/no-go weather controls, squall advisories, and stability guidance for fishing vessels operating in exposed corridors.</t>
  </si>
  <si>
    <t>Machinery-readiness checks on ferries, tankers, and merchant arrivals</t>
  </si>
  <si>
    <t>Medium</t>
  </si>
  <si>
    <t>Inspection and readiness memo</t>
  </si>
  <si>
    <t>MARINA / Port state and domestic inspection units</t>
  </si>
  <si>
    <t>Use repeat mechanical cases to focus machinery-readiness inspections before corridor entry, berthing, or discharge operations.</t>
  </si>
  <si>
    <t>Corridor Evidence Register</t>
  </si>
  <si>
    <t>Confidence and Data Caveats</t>
  </si>
  <si>
    <t>Methodology Notes</t>
  </si>
  <si>
    <t>Risk Index = severity weight × max(casualty burden, 1). It is a prioritization proxy used by the mockup, not a validated official doctrine metric.</t>
  </si>
  <si>
    <t>Confidence Score blends subset completeness, linked evidence presence, and review maturity. It helps a developer implement the mockup, but should be validated by policy and investigation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</si>
</sst>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0.0000"/>
    <numFmt numFmtId="167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34155"/>
      <name val="Calibri"/>
    </font>
    <font>
      <b/>
      <sz val="11"/>
      <color rgb="FF1E3A8A"/>
      <name val="Calibri"/>
    </font>
    <font>
      <b/>
      <sz val="11"/>
      <color rgb="FF991B1B"/>
      <name val="Calibri"/>
    </font>
    <font>
      <b/>
      <sz val="10"/>
      <color rgb="FFFFFFFF"/>
      <name val="Calibri"/>
    </font>
    <font>
      <b/>
      <sz val="18"/>
      <color rgb="FF1D4ED8"/>
      <name val="Calibri"/>
    </font>
    <font>
      <sz val="9"/>
      <color rgb="FF475569"/>
      <name val="Calibri"/>
    </font>
    <font>
      <b/>
      <sz val="18"/>
      <color rgb="FF991B1B"/>
      <name val="Calibri"/>
    </font>
    <font>
      <b/>
      <sz val="18"/>
      <color rgb="FF0F766E"/>
      <name val="Calibri"/>
    </font>
    <font>
      <b/>
      <sz val="18"/>
      <color rgb="FF7C3AED"/>
      <name val="Calibri"/>
    </font>
    <font>
      <b/>
      <sz val="11"/>
      <color rgb="FF1E3A8A"/>
      <name val="Calibri"/>
    </font>
    <font>
      <b/>
      <sz val="18"/>
      <color rgb="FFD9770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991B1B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D9770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/>
    <xf numFmtId="0" fontId="0" fillId="0" borderId="0" xfId="0" applyAlignment="1">
      <alignment wrapText="1"/>
    </xf>
    <xf numFmtId="0" fontId="4" fillId="5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5" fillId="6" borderId="1" xfId="0" applyFont="1" applyFill="1" applyBorder="1" applyAlignment="1">
      <alignment horizontal="center" vertical="center"/>
    </xf>
    <xf numFmtId="0" fontId="0" fillId="0" borderId="1" xfId="0" applyBorder="1"/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Monthly Incident and Casualty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Trend_Summary!$B$12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1D4ED8"/>
            </a:solidFill>
            <a:ln>
              <a:solidFill>
                <a:srgbClr val="1D4ED8"/>
              </a:solidFill>
              <a:prstDash val="solid"/>
            </a:ln>
          </c:spPr>
          <c:invertIfNegative val="0"/>
          <c:cat>
            <c:strRef>
              <c:f>Trend_Summary!$A$13:$A$30</c:f>
              <c:strCache>
                <c:ptCount val="18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  <c:pt idx="12">
                  <c:v>Jan 26</c:v>
                </c:pt>
                <c:pt idx="13">
                  <c:v>Feb 26</c:v>
                </c:pt>
                <c:pt idx="14">
                  <c:v>Mar 26</c:v>
                </c:pt>
                <c:pt idx="15">
                  <c:v>Consequence Profile by Severity</c:v>
                </c:pt>
                <c:pt idx="16">
                  <c:v>Severity</c:v>
                </c:pt>
                <c:pt idx="17">
                  <c:v>Serious</c:v>
                </c:pt>
              </c:strCache>
            </c:strRef>
          </c:cat>
          <c:val>
            <c:numRef>
              <c:f>Trend_Summary!$B$13:$B$30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6">
                  <c:v>0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4-4A50-87CE-6992BE37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Trend_Summary!$C$12</c:f>
              <c:strCache>
                <c:ptCount val="1"/>
                <c:pt idx="0">
                  <c:v>Fatalities</c:v>
                </c:pt>
              </c:strCache>
            </c:strRef>
          </c:tx>
          <c:spPr>
            <a:ln>
              <a:solidFill>
                <a:srgbClr val="991B1B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Trend_Summary!$A$13:$A$30</c:f>
              <c:strCache>
                <c:ptCount val="18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  <c:pt idx="12">
                  <c:v>Jan 26</c:v>
                </c:pt>
                <c:pt idx="13">
                  <c:v>Feb 26</c:v>
                </c:pt>
                <c:pt idx="14">
                  <c:v>Mar 26</c:v>
                </c:pt>
                <c:pt idx="15">
                  <c:v>Consequence Profile by Severity</c:v>
                </c:pt>
                <c:pt idx="16">
                  <c:v>Severity</c:v>
                </c:pt>
                <c:pt idx="17">
                  <c:v>Serious</c:v>
                </c:pt>
              </c:strCache>
            </c:strRef>
          </c:cat>
          <c:val>
            <c:numRef>
              <c:f>Trend_Summary!$C$13:$C$30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4</c:v>
                </c:pt>
                <c:pt idx="16">
                  <c:v>0</c:v>
                </c:pt>
                <c:pt idx="1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4-4A50-87CE-6992BE37A663}"/>
            </c:ext>
          </c:extLst>
        </c:ser>
        <c:ser>
          <c:idx val="2"/>
          <c:order val="2"/>
          <c:tx>
            <c:strRef>
              <c:f>Trend_Summary!$D$12</c:f>
              <c:strCache>
                <c:ptCount val="1"/>
                <c:pt idx="0">
                  <c:v>Injuries</c:v>
                </c:pt>
              </c:strCache>
            </c:strRef>
          </c:tx>
          <c:spPr>
            <a:ln>
              <a:solidFill>
                <a:srgbClr val="D9770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Trend_Summary!$A$13:$A$30</c:f>
              <c:strCache>
                <c:ptCount val="18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  <c:pt idx="12">
                  <c:v>Jan 26</c:v>
                </c:pt>
                <c:pt idx="13">
                  <c:v>Feb 26</c:v>
                </c:pt>
                <c:pt idx="14">
                  <c:v>Mar 26</c:v>
                </c:pt>
                <c:pt idx="15">
                  <c:v>Consequence Profile by Severity</c:v>
                </c:pt>
                <c:pt idx="16">
                  <c:v>Severity</c:v>
                </c:pt>
                <c:pt idx="17">
                  <c:v>Serious</c:v>
                </c:pt>
              </c:strCache>
            </c:strRef>
          </c:cat>
          <c:val>
            <c:numRef>
              <c:f>Trend_Summary!$D$13:$D$30</c:f>
              <c:numCache>
                <c:formatCode>General</c:formatCode>
                <c:ptCount val="1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8</c:v>
                </c:pt>
                <c:pt idx="14">
                  <c:v>7</c:v>
                </c:pt>
                <c:pt idx="16">
                  <c:v>0</c:v>
                </c:pt>
                <c:pt idx="1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4-4A50-87CE-6992BE37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Incident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Casualties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Consequence Profile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Trend_Summary!$B$29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1D4ED8"/>
            </a:solidFill>
            <a:ln>
              <a:solidFill>
                <a:srgbClr val="1D4ED8"/>
              </a:solidFill>
              <a:prstDash val="solid"/>
            </a:ln>
          </c:spPr>
          <c:invertIfNegative val="0"/>
          <c:cat>
            <c:strRef>
              <c:f>Trend_Summary!$A$30:$A$33</c:f>
              <c:strCache>
                <c:ptCount val="4"/>
                <c:pt idx="0">
                  <c:v>Serious</c:v>
                </c:pt>
                <c:pt idx="1">
                  <c:v>Less Serious</c:v>
                </c:pt>
                <c:pt idx="2">
                  <c:v>Very Serious</c:v>
                </c:pt>
                <c:pt idx="3">
                  <c:v>Near Miss</c:v>
                </c:pt>
              </c:strCache>
            </c:strRef>
          </c:cat>
          <c:val>
            <c:numRef>
              <c:f>Trend_Summary!$B$30:$B$33</c:f>
              <c:numCache>
                <c:formatCode>General</c:formatCode>
                <c:ptCount val="4"/>
                <c:pt idx="0">
                  <c:v>15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A-4665-9EA6-46909201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Trend_Summary!$D$29</c:f>
              <c:strCache>
                <c:ptCount val="1"/>
                <c:pt idx="0">
                  <c:v>Casualties</c:v>
                </c:pt>
              </c:strCache>
            </c:strRef>
          </c:tx>
          <c:spPr>
            <a:ln>
              <a:solidFill>
                <a:srgbClr val="475569"/>
              </a:solidFill>
              <a:prstDash val="solid"/>
            </a:ln>
          </c:spPr>
          <c:marker>
            <c:symbol val="diamond"/>
            <c:size val="5"/>
            <c:spPr>
              <a:ln>
                <a:prstDash val="solid"/>
              </a:ln>
            </c:spPr>
          </c:marker>
          <c:cat>
            <c:strRef>
              <c:f>Trend_Summary!$A$30:$A$33</c:f>
              <c:strCache>
                <c:ptCount val="4"/>
                <c:pt idx="0">
                  <c:v>Serious</c:v>
                </c:pt>
                <c:pt idx="1">
                  <c:v>Less Serious</c:v>
                </c:pt>
                <c:pt idx="2">
                  <c:v>Very Serious</c:v>
                </c:pt>
                <c:pt idx="3">
                  <c:v>Near Miss</c:v>
                </c:pt>
              </c:strCache>
            </c:strRef>
          </c:cat>
          <c:val>
            <c:numRef>
              <c:f>Trend_Summary!$D$30:$D$33</c:f>
              <c:numCache>
                <c:formatCode>General</c:formatCode>
                <c:ptCount val="4"/>
                <c:pt idx="0">
                  <c:v>34</c:v>
                </c:pt>
                <c:pt idx="1">
                  <c:v>3</c:v>
                </c:pt>
                <c:pt idx="2">
                  <c:v>49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A-4665-9EA6-46909201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1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1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Causal Pareto 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Causal_Analysis!$B$5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rgbClr val="2563EB"/>
              </a:solidFill>
              <a:prstDash val="solid"/>
            </a:ln>
          </c:spPr>
          <c:invertIfNegative val="0"/>
          <c:cat>
            <c:strRef>
              <c:f>Causal_Analysis!$A$6:$A$9</c:f>
              <c:strCache>
                <c:ptCount val="4"/>
                <c:pt idx="0">
                  <c:v>Navigation Error</c:v>
                </c:pt>
                <c:pt idx="1">
                  <c:v>Mechanical Failure</c:v>
                </c:pt>
                <c:pt idx="2">
                  <c:v>Weather Conditions</c:v>
                </c:pt>
                <c:pt idx="3">
                  <c:v>Human Error</c:v>
                </c:pt>
              </c:strCache>
            </c:strRef>
          </c:cat>
          <c:val>
            <c:numRef>
              <c:f>Causal_Analysis!$B$6:$B$9</c:f>
              <c:numCache>
                <c:formatCode>General</c:formatCode>
                <c:ptCount val="4"/>
                <c:pt idx="0">
                  <c:v>15</c:v>
                </c:pt>
                <c:pt idx="1">
                  <c:v>11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2-43FF-ACBC-768268E5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Causal_Analysis!$F$5</c:f>
              <c:strCache>
                <c:ptCount val="1"/>
                <c:pt idx="0">
                  <c:v>Cumulative %</c:v>
                </c:pt>
              </c:strCache>
            </c:strRef>
          </c:tx>
          <c:spPr>
            <a:ln>
              <a:solidFill>
                <a:srgbClr val="991B1B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Causal_Analysis!$A$6:$A$9</c:f>
              <c:strCache>
                <c:ptCount val="4"/>
                <c:pt idx="0">
                  <c:v>Navigation Error</c:v>
                </c:pt>
                <c:pt idx="1">
                  <c:v>Mechanical Failure</c:v>
                </c:pt>
                <c:pt idx="2">
                  <c:v>Weather Conditions</c:v>
                </c:pt>
                <c:pt idx="3">
                  <c:v>Human Error</c:v>
                </c:pt>
              </c:strCache>
            </c:strRef>
          </c:cat>
          <c:val>
            <c:numRef>
              <c:f>Causal_Analysis!$F$6:$F$9</c:f>
              <c:numCache>
                <c:formatCode>General</c:formatCode>
                <c:ptCount val="4"/>
                <c:pt idx="0">
                  <c:v>44</c:v>
                </c:pt>
                <c:pt idx="1">
                  <c:v>76</c:v>
                </c:pt>
                <c:pt idx="2">
                  <c:v>91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2-43FF-ACBC-768268E5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00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Casualty Burden by Incident Type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Causal_Analysis!$C$23</c:f>
              <c:strCache>
                <c:ptCount val="1"/>
                <c:pt idx="0">
                  <c:v>Fatalities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Causal_Analysis!$A$24:$A$33</c:f>
              <c:strCache>
                <c:ptCount val="10"/>
                <c:pt idx="0">
                  <c:v>Collision</c:v>
                </c:pt>
                <c:pt idx="1">
                  <c:v>Fire/Explosion</c:v>
                </c:pt>
                <c:pt idx="2">
                  <c:v>Capsizing</c:v>
                </c:pt>
                <c:pt idx="3">
                  <c:v>Grounding</c:v>
                </c:pt>
                <c:pt idx="4">
                  <c:v>Swamping</c:v>
                </c:pt>
                <c:pt idx="5">
                  <c:v>Sinking</c:v>
                </c:pt>
                <c:pt idx="6">
                  <c:v>Machinery Failure</c:v>
                </c:pt>
                <c:pt idx="7">
                  <c:v>Person Overboard</c:v>
                </c:pt>
                <c:pt idx="8">
                  <c:v>Flooding</c:v>
                </c:pt>
                <c:pt idx="9">
                  <c:v>Pollution Incident</c:v>
                </c:pt>
              </c:strCache>
            </c:strRef>
          </c:cat>
          <c:val>
            <c:numRef>
              <c:f>Causal_Analysis!$C$24:$C$33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0-471B-991C-841D67A9D86C}"/>
            </c:ext>
          </c:extLst>
        </c:ser>
        <c:ser>
          <c:idx val="1"/>
          <c:order val="1"/>
          <c:tx>
            <c:strRef>
              <c:f>Causal_Analysis!$D$23</c:f>
              <c:strCache>
                <c:ptCount val="1"/>
                <c:pt idx="0">
                  <c:v>Injuries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Causal_Analysis!$A$24:$A$33</c:f>
              <c:strCache>
                <c:ptCount val="10"/>
                <c:pt idx="0">
                  <c:v>Collision</c:v>
                </c:pt>
                <c:pt idx="1">
                  <c:v>Fire/Explosion</c:v>
                </c:pt>
                <c:pt idx="2">
                  <c:v>Capsizing</c:v>
                </c:pt>
                <c:pt idx="3">
                  <c:v>Grounding</c:v>
                </c:pt>
                <c:pt idx="4">
                  <c:v>Swamping</c:v>
                </c:pt>
                <c:pt idx="5">
                  <c:v>Sinking</c:v>
                </c:pt>
                <c:pt idx="6">
                  <c:v>Machinery Failure</c:v>
                </c:pt>
                <c:pt idx="7">
                  <c:v>Person Overboard</c:v>
                </c:pt>
                <c:pt idx="8">
                  <c:v>Flooding</c:v>
                </c:pt>
                <c:pt idx="9">
                  <c:v>Pollution Incident</c:v>
                </c:pt>
              </c:strCache>
            </c:strRef>
          </c:cat>
          <c:val>
            <c:numRef>
              <c:f>Causal_Analysis!$D$24:$D$33</c:f>
              <c:numCache>
                <c:formatCode>General</c:formatCode>
                <c:ptCount val="10"/>
                <c:pt idx="0">
                  <c:v>31</c:v>
                </c:pt>
                <c:pt idx="1">
                  <c:v>17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0-471B-991C-841D67A9D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Human-Factor Signals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Causal_Analysis!$B$42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Causal_Analysis!$A$43:$A$46</c:f>
              <c:strCache>
                <c:ptCount val="4"/>
                <c:pt idx="0">
                  <c:v>Violation of Procedures</c:v>
                </c:pt>
                <c:pt idx="1">
                  <c:v>Communication Failure</c:v>
                </c:pt>
                <c:pt idx="2">
                  <c:v>Inadequate Training</c:v>
                </c:pt>
                <c:pt idx="3">
                  <c:v>Fatigue</c:v>
                </c:pt>
              </c:strCache>
            </c:strRef>
          </c:cat>
          <c:val>
            <c:numRef>
              <c:f>Causal_Analysis!$B$43:$B$46</c:f>
              <c:numCache>
                <c:formatCode>General</c:formatCode>
                <c:ptCount val="4"/>
                <c:pt idx="0">
                  <c:v>15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B-4D71-8823-D9230BF78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Corridor Risk Ranking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Exposure_Analysis!$F$5</c:f>
              <c:strCache>
                <c:ptCount val="1"/>
                <c:pt idx="0">
                  <c:v>Risk Index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Exposure_Analysis!$A$6:$A$11</c:f>
              <c:strCache>
                <c:ptCount val="6"/>
                <c:pt idx="0">
                  <c:v>Batangas-Calapan Transit Lane</c:v>
                </c:pt>
                <c:pt idx="1">
                  <c:v>Manila Bay South Approach</c:v>
                </c:pt>
                <c:pt idx="2">
                  <c:v>Manila Bay North Approach</c:v>
                </c:pt>
                <c:pt idx="3">
                  <c:v>Cebu-Mactan Southern Approach</c:v>
                </c:pt>
                <c:pt idx="4">
                  <c:v>Liloan-Surigao Crossing</c:v>
                </c:pt>
                <c:pt idx="5">
                  <c:v>Matnog-Allen Ferry Transit</c:v>
                </c:pt>
              </c:strCache>
            </c:strRef>
          </c:cat>
          <c:val>
            <c:numRef>
              <c:f>Exposure_Analysis!$F$6:$F$11</c:f>
              <c:numCache>
                <c:formatCode>General</c:formatCode>
                <c:ptCount val="6"/>
                <c:pt idx="0">
                  <c:v>56</c:v>
                </c:pt>
                <c:pt idx="1">
                  <c:v>41</c:v>
                </c:pt>
                <c:pt idx="2">
                  <c:v>40</c:v>
                </c:pt>
                <c:pt idx="3">
                  <c:v>37</c:v>
                </c:pt>
                <c:pt idx="4">
                  <c:v>35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F-40D1-ADF4-7E9B14FC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Sea Area Exposure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Exposure_Analysis!$E$25</c:f>
              <c:strCache>
                <c:ptCount val="1"/>
                <c:pt idx="0">
                  <c:v>Risk Index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Exposure_Analysis!$A$26:$A$35</c:f>
              <c:strCache>
                <c:ptCount val="10"/>
                <c:pt idx="0">
                  <c:v>Manila Bay</c:v>
                </c:pt>
                <c:pt idx="1">
                  <c:v>Verde Island Passage</c:v>
                </c:pt>
                <c:pt idx="2">
                  <c:v>Cebu Strait</c:v>
                </c:pt>
                <c:pt idx="3">
                  <c:v>Surigao Strait</c:v>
                </c:pt>
                <c:pt idx="4">
                  <c:v>San Bernardino Strait</c:v>
                </c:pt>
                <c:pt idx="5">
                  <c:v>Macajalar Bay</c:v>
                </c:pt>
                <c:pt idx="6">
                  <c:v>Davao Gulf</c:v>
                </c:pt>
                <c:pt idx="7">
                  <c:v>Palawan Approaches</c:v>
                </c:pt>
                <c:pt idx="8">
                  <c:v>Iloilo Strait</c:v>
                </c:pt>
                <c:pt idx="9">
                  <c:v>Bohol Sea</c:v>
                </c:pt>
              </c:strCache>
            </c:strRef>
          </c:cat>
          <c:val>
            <c:numRef>
              <c:f>Exposure_Analysis!$E$26:$E$35</c:f>
              <c:numCache>
                <c:formatCode>General</c:formatCode>
                <c:ptCount val="10"/>
                <c:pt idx="0">
                  <c:v>81</c:v>
                </c:pt>
                <c:pt idx="1">
                  <c:v>56</c:v>
                </c:pt>
                <c:pt idx="2">
                  <c:v>37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  <c:pt idx="7">
                  <c:v>12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FA4-90A5-525173C64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Vessel Class Exposure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Exposure_Analysis!$C$44</c:f>
              <c:strCache>
                <c:ptCount val="1"/>
                <c:pt idx="0">
                  <c:v>Risk Index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Exposure_Analysis!$A$45:$A$51</c:f>
              <c:strCache>
                <c:ptCount val="7"/>
                <c:pt idx="0">
                  <c:v>Bulk Carrier</c:v>
                </c:pt>
                <c:pt idx="1">
                  <c:v>Oil Tanker</c:v>
                </c:pt>
                <c:pt idx="2">
                  <c:v>Fishing Vessel</c:v>
                </c:pt>
                <c:pt idx="3">
                  <c:v>Ferry</c:v>
                </c:pt>
                <c:pt idx="4">
                  <c:v>General Cargo</c:v>
                </c:pt>
                <c:pt idx="5">
                  <c:v>Passenger Vessel</c:v>
                </c:pt>
                <c:pt idx="6">
                  <c:v>Container Ship</c:v>
                </c:pt>
              </c:strCache>
            </c:strRef>
          </c:cat>
          <c:val>
            <c:numRef>
              <c:f>Exposure_Analysis!$C$45:$C$51</c:f>
              <c:numCache>
                <c:formatCode>General</c:formatCode>
                <c:ptCount val="7"/>
                <c:pt idx="0">
                  <c:v>83</c:v>
                </c:pt>
                <c:pt idx="1">
                  <c:v>81</c:v>
                </c:pt>
                <c:pt idx="2">
                  <c:v>59</c:v>
                </c:pt>
                <c:pt idx="3">
                  <c:v>46</c:v>
                </c:pt>
                <c:pt idx="4">
                  <c:v>30</c:v>
                </c:pt>
                <c:pt idx="5">
                  <c:v>15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6-44C3-ACE3-A533C0238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Seasonal Operating Pressure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Exposure_Analysis!$B$63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Exposure_Analysis!$A$64:$A$67</c:f>
              <c:strCache>
                <c:ptCount val="4"/>
                <c:pt idx="0">
                  <c:v>Northeast Monsoon</c:v>
                </c:pt>
                <c:pt idx="1">
                  <c:v>Transition Season</c:v>
                </c:pt>
                <c:pt idx="2">
                  <c:v>Southwest Monsoon</c:v>
                </c:pt>
                <c:pt idx="3">
                  <c:v>Typhoon Season</c:v>
                </c:pt>
              </c:strCache>
            </c:strRef>
          </c:cat>
          <c:val>
            <c:numRef>
              <c:f>Exposure_Analysis!$B$64:$B$67</c:f>
              <c:numCache>
                <c:formatCode>General</c:formatCode>
                <c:ptCount val="4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0-4290-A2A6-E8CC03EE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Exposure_Analysis!$C$63</c:f>
              <c:strCache>
                <c:ptCount val="1"/>
                <c:pt idx="0">
                  <c:v>Casualties</c:v>
                </c:pt>
              </c:strCache>
            </c:strRef>
          </c:tx>
          <c:spPr>
            <a:ln>
              <a:solidFill>
                <a:srgbClr val="991B1B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Exposure_Analysis!$A$64:$A$67</c:f>
              <c:strCache>
                <c:ptCount val="4"/>
                <c:pt idx="0">
                  <c:v>Northeast Monsoon</c:v>
                </c:pt>
                <c:pt idx="1">
                  <c:v>Transition Season</c:v>
                </c:pt>
                <c:pt idx="2">
                  <c:v>Southwest Monsoon</c:v>
                </c:pt>
                <c:pt idx="3">
                  <c:v>Typhoon Season</c:v>
                </c:pt>
              </c:strCache>
            </c:strRef>
          </c:cat>
          <c:val>
            <c:numRef>
              <c:f>Exposure_Analysis!$C$64:$C$67</c:f>
              <c:numCache>
                <c:formatCode>General</c:formatCode>
                <c:ptCount val="4"/>
                <c:pt idx="0">
                  <c:v>24</c:v>
                </c:pt>
                <c:pt idx="1">
                  <c:v>30</c:v>
                </c:pt>
                <c:pt idx="2">
                  <c:v>14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0-4290-A2A6-E8CC03EE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1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1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Critical Gaps for Policy Use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Quality_Analysis!$J$5</c:f>
              <c:strCache>
                <c:ptCount val="1"/>
                <c:pt idx="0">
                  <c:v>Coverage 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Quality_Analysis!$H$6:$H$11</c:f>
              <c:strCache>
                <c:ptCount val="6"/>
                <c:pt idx="0">
                  <c:v>Registry identifiers</c:v>
                </c:pt>
                <c:pt idx="1">
                  <c:v>Voyage and route details</c:v>
                </c:pt>
                <c:pt idx="2">
                  <c:v>Weather observations</c:v>
                </c:pt>
                <c:pt idx="3">
                  <c:v>Cause findings</c:v>
                </c:pt>
                <c:pt idx="4">
                  <c:v>Linked evidence</c:v>
                </c:pt>
                <c:pt idx="5">
                  <c:v>Ownership and operator</c:v>
                </c:pt>
              </c:strCache>
            </c:strRef>
          </c:cat>
          <c:val>
            <c:numRef>
              <c:f>Quality_Analysis!$J$6:$J$11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E-4E9D-9781-8C3A25B65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Workflow and Record Quality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Quality_Analysis!$B$24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Quality_Analysis!$A$25:$A$27</c:f>
              <c:strCache>
                <c:ptCount val="3"/>
                <c:pt idx="0">
                  <c:v>Published</c:v>
                </c:pt>
                <c:pt idx="1">
                  <c:v>Verified</c:v>
                </c:pt>
                <c:pt idx="2">
                  <c:v>Under Review</c:v>
                </c:pt>
              </c:strCache>
            </c:strRef>
          </c:cat>
          <c:val>
            <c:numRef>
              <c:f>Quality_Analysis!$B$25:$B$27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F-476B-87D4-91F9E3B7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Quality_Analysis!$C$24</c:f>
              <c:strCache>
                <c:ptCount val="1"/>
                <c:pt idx="0">
                  <c:v>Avg. Completeness</c:v>
                </c:pt>
              </c:strCache>
            </c:strRef>
          </c:tx>
          <c:spPr>
            <a:ln>
              <a:solidFill>
                <a:srgbClr val="0F766E"/>
              </a:solidFill>
              <a:prstDash val="solid"/>
            </a:ln>
          </c:spPr>
          <c:marker>
            <c:symbol val="diamond"/>
            <c:size val="5"/>
            <c:spPr>
              <a:ln>
                <a:prstDash val="solid"/>
              </a:ln>
            </c:spPr>
          </c:marker>
          <c:cat>
            <c:strRef>
              <c:f>Quality_Analysis!$A$25:$A$27</c:f>
              <c:strCache>
                <c:ptCount val="3"/>
                <c:pt idx="0">
                  <c:v>Published</c:v>
                </c:pt>
                <c:pt idx="1">
                  <c:v>Verified</c:v>
                </c:pt>
                <c:pt idx="2">
                  <c:v>Under Review</c:v>
                </c:pt>
              </c:strCache>
            </c:strRef>
          </c:cat>
          <c:val>
            <c:numRef>
              <c:f>Quality_Analysis!$C$25:$C$27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F-476B-87D4-91F9E3B7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1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1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Traceable Corridor Evidence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Exposure_Analysis!$F$5</c:f>
              <c:strCache>
                <c:ptCount val="1"/>
                <c:pt idx="0">
                  <c:v>Risk Index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Exposure_Analysis!$A$6:$A$11</c:f>
              <c:strCache>
                <c:ptCount val="6"/>
                <c:pt idx="0">
                  <c:v>Batangas-Calapan Transit Lane</c:v>
                </c:pt>
                <c:pt idx="1">
                  <c:v>Manila Bay South Approach</c:v>
                </c:pt>
                <c:pt idx="2">
                  <c:v>Manila Bay North Approach</c:v>
                </c:pt>
                <c:pt idx="3">
                  <c:v>Cebu-Mactan Southern Approach</c:v>
                </c:pt>
                <c:pt idx="4">
                  <c:v>Liloan-Surigao Crossing</c:v>
                </c:pt>
                <c:pt idx="5">
                  <c:v>Matnog-Allen Ferry Transit</c:v>
                </c:pt>
              </c:strCache>
            </c:strRef>
          </c:cat>
          <c:val>
            <c:numRef>
              <c:f>Exposure_Analysis!$F$6:$F$11</c:f>
              <c:numCache>
                <c:formatCode>General</c:formatCode>
                <c:ptCount val="6"/>
                <c:pt idx="0">
                  <c:v>56</c:v>
                </c:pt>
                <c:pt idx="1">
                  <c:v>41</c:v>
                </c:pt>
                <c:pt idx="2">
                  <c:v>40</c:v>
                </c:pt>
                <c:pt idx="3">
                  <c:v>37</c:v>
                </c:pt>
                <c:pt idx="4">
                  <c:v>35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D-4B27-8309-7AC3F37D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Repeat Cause Burden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Causal_Analysis!$B$5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Causal_Analysis!$A$6:$A$10</c:f>
              <c:strCache>
                <c:ptCount val="4"/>
                <c:pt idx="0">
                  <c:v>Navigation Error</c:v>
                </c:pt>
                <c:pt idx="1">
                  <c:v>Mechanical Failure</c:v>
                </c:pt>
                <c:pt idx="2">
                  <c:v>Weather Conditions</c:v>
                </c:pt>
                <c:pt idx="3">
                  <c:v>Human Error</c:v>
                </c:pt>
              </c:strCache>
            </c:strRef>
          </c:cat>
          <c:val>
            <c:numRef>
              <c:f>Causal_Analysis!$B$6:$B$10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E-4324-9943-5B52533DA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0</xdr:rowOff>
    </xdr:from>
    <xdr:ext cx="41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28</xdr:row>
      <xdr:rowOff>0</xdr:rowOff>
    </xdr:from>
    <xdr:ext cx="41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41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1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41</xdr:row>
      <xdr:rowOff>0</xdr:rowOff>
    </xdr:from>
    <xdr:ext cx="41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41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24</xdr:row>
      <xdr:rowOff>0</xdr:rowOff>
    </xdr:from>
    <xdr:ext cx="41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43</xdr:row>
      <xdr:rowOff>0</xdr:rowOff>
    </xdr:from>
    <xdr:ext cx="41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62</xdr:row>
      <xdr:rowOff>0</xdr:rowOff>
    </xdr:from>
    <xdr:ext cx="41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36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23</xdr:row>
      <xdr:rowOff>0</xdr:rowOff>
    </xdr:from>
    <xdr:ext cx="36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11</xdr:row>
      <xdr:rowOff>0</xdr:rowOff>
    </xdr:from>
    <xdr:ext cx="36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28</xdr:row>
      <xdr:rowOff>0</xdr:rowOff>
    </xdr:from>
    <xdr:ext cx="36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Incidents" displayName="RawIncidents" ref="A4:AZ38">
  <autoFilter ref="A4:AZ38" xr:uid="{00000000-0009-0000-0100-000001000000}"/>
  <tableColumns count="52">
    <tableColumn id="1" xr3:uid="{00000000-0010-0000-0000-000001000000}" name="Incident ID"/>
    <tableColumn id="2" xr3:uid="{00000000-0010-0000-0000-000002000000}" name="Incident DateTime"/>
    <tableColumn id="3" xr3:uid="{00000000-0010-0000-0000-000003000000}" name="Incident Type"/>
    <tableColumn id="4" xr3:uid="{00000000-0010-0000-0000-000004000000}" name="Casualty Type"/>
    <tableColumn id="5" xr3:uid="{00000000-0010-0000-0000-000005000000}" name="Severity"/>
    <tableColumn id="6" xr3:uid="{00000000-0010-0000-0000-000006000000}" name="Vessel Name"/>
    <tableColumn id="7" xr3:uid="{00000000-0010-0000-0000-000007000000}" name="Former Names"/>
    <tableColumn id="8" xr3:uid="{00000000-0010-0000-0000-000008000000}" name="Vessel Type"/>
    <tableColumn id="9" xr3:uid="{00000000-0010-0000-0000-000009000000}" name="Flag State"/>
    <tableColumn id="10" xr3:uid="{00000000-0010-0000-0000-00000A000000}" name="IMO Number"/>
    <tableColumn id="11" xr3:uid="{00000000-0010-0000-0000-00000B000000}" name="Official Number"/>
    <tableColumn id="12" xr3:uid="{00000000-0010-0000-0000-00000C000000}" name="Gross Tonnage"/>
    <tableColumn id="13" xr3:uid="{00000000-0010-0000-0000-00000D000000}" name="Length Meters"/>
    <tableColumn id="14" xr3:uid="{00000000-0010-0000-0000-00000E000000}" name="Breadth Meters"/>
    <tableColumn id="15" xr3:uid="{00000000-0010-0000-0000-00000F000000}" name="Propulsion Type"/>
    <tableColumn id="16" xr3:uid="{00000000-0010-0000-0000-000010000000}" name="Engine Power kW"/>
    <tableColumn id="17" xr3:uid="{00000000-0010-0000-0000-000011000000}" name="Classification Society"/>
    <tableColumn id="18" xr3:uid="{00000000-0010-0000-0000-000012000000}" name="Year Built"/>
    <tableColumn id="19" xr3:uid="{00000000-0010-0000-0000-000013000000}" name="Latitude"/>
    <tableColumn id="20" xr3:uid="{00000000-0010-0000-0000-000014000000}" name="Longitude"/>
    <tableColumn id="21" xr3:uid="{00000000-0010-0000-0000-000015000000}" name="Reference Port"/>
    <tableColumn id="22" xr3:uid="{00000000-0010-0000-0000-000016000000}" name="Province"/>
    <tableColumn id="23" xr3:uid="{00000000-0010-0000-0000-000017000000}" name="Sea Area"/>
    <tableColumn id="24" xr3:uid="{00000000-0010-0000-0000-000018000000}" name="Corridor"/>
    <tableColumn id="25" xr3:uid="{00000000-0010-0000-0000-000019000000}" name="Wave Height (m)"/>
    <tableColumn id="26" xr3:uid="{00000000-0010-0000-0000-00001A000000}" name="Wind Force"/>
    <tableColumn id="27" xr3:uid="{00000000-0010-0000-0000-00001B000000}" name="Visibility"/>
    <tableColumn id="28" xr3:uid="{00000000-0010-0000-0000-00001C000000}" name="Owner Name"/>
    <tableColumn id="29" xr3:uid="{00000000-0010-0000-0000-00001D000000}" name="Owner Contact"/>
    <tableColumn id="30" xr3:uid="{00000000-0010-0000-0000-00001E000000}" name="Operator Name"/>
    <tableColumn id="31" xr3:uid="{00000000-0010-0000-0000-00001F000000}" name="Operator Address"/>
    <tableColumn id="32" xr3:uid="{00000000-0010-0000-0000-000020000000}" name="Voyage Origin"/>
    <tableColumn id="33" xr3:uid="{00000000-0010-0000-0000-000021000000}" name="Voyage Destination"/>
    <tableColumn id="34" xr3:uid="{00000000-0010-0000-0000-000022000000}" name="Intended Route"/>
    <tableColumn id="35" xr3:uid="{00000000-0010-0000-0000-000023000000}" name="Cargo Type"/>
    <tableColumn id="36" xr3:uid="{00000000-0010-0000-0000-000024000000}" name="Cargo Quantity"/>
    <tableColumn id="37" xr3:uid="{00000000-0010-0000-0000-000025000000}" name="Authority"/>
    <tableColumn id="38" xr3:uid="{00000000-0010-0000-0000-000026000000}" name="Reporting Method"/>
    <tableColumn id="39" xr3:uid="{00000000-0010-0000-0000-000027000000}" name="Status"/>
    <tableColumn id="40" xr3:uid="{00000000-0010-0000-0000-000028000000}" name="Narrative"/>
    <tableColumn id="41" xr3:uid="{00000000-0010-0000-0000-000029000000}" name="Key Events Timeline"/>
    <tableColumn id="42" xr3:uid="{00000000-0010-0000-0000-00002A000000}" name="Crew Response"/>
    <tableColumn id="43" xr3:uid="{00000000-0010-0000-0000-00002B000000}" name="Crew Behavior Factors"/>
    <tableColumn id="44" xr3:uid="{00000000-0010-0000-0000-00002C000000}" name="Primary Cause"/>
    <tableColumn id="45" xr3:uid="{00000000-0010-0000-0000-00002D000000}" name="Findings Of Cause"/>
    <tableColumn id="46" xr3:uid="{00000000-0010-0000-0000-00002E000000}" name="Damages Incurred"/>
    <tableColumn id="47" xr3:uid="{00000000-0010-0000-0000-00002F000000}" name="Crew Count"/>
    <tableColumn id="48" xr3:uid="{00000000-0010-0000-0000-000030000000}" name="Passenger Count"/>
    <tableColumn id="49" xr3:uid="{00000000-0010-0000-0000-000031000000}" name="Fatalities"/>
    <tableColumn id="50" xr3:uid="{00000000-0010-0000-0000-000032000000}" name="Injuries"/>
    <tableColumn id="51" xr3:uid="{00000000-0010-0000-0000-000033000000}" name="Recommendations"/>
    <tableColumn id="52" xr3:uid="{00000000-0010-0000-0000-000034000000}" name="Linked Docu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richedIncidents" displayName="EnrichedIncidents" ref="A4:AK38">
  <autoFilter ref="A4:AK38" xr:uid="{00000000-0009-0000-0100-000002000000}"/>
  <tableColumns count="37">
    <tableColumn id="1" xr3:uid="{00000000-0010-0000-0100-000001000000}" name="Incident ID"/>
    <tableColumn id="2" xr3:uid="{00000000-0010-0000-0100-000002000000}" name="Incident DateTime"/>
    <tableColumn id="3" xr3:uid="{00000000-0010-0000-0100-000003000000}" name="Incident Type"/>
    <tableColumn id="4" xr3:uid="{00000000-0010-0000-0100-000004000000}" name="Severity"/>
    <tableColumn id="5" xr3:uid="{00000000-0010-0000-0100-000005000000}" name="Vessel Type"/>
    <tableColumn id="6" xr3:uid="{00000000-0010-0000-0100-000006000000}" name="Authority"/>
    <tableColumn id="7" xr3:uid="{00000000-0010-0000-0100-000007000000}" name="Status"/>
    <tableColumn id="8" xr3:uid="{00000000-0010-0000-0100-000008000000}" name="Province"/>
    <tableColumn id="9" xr3:uid="{00000000-0010-0000-0100-000009000000}" name="Sea Area Resolved"/>
    <tableColumn id="10" xr3:uid="{00000000-0010-0000-0100-00000A000000}" name="Corridor Resolved"/>
    <tableColumn id="11" xr3:uid="{00000000-0010-0000-0100-00000B000000}" name="Region"/>
    <tableColumn id="12" xr3:uid="{00000000-0010-0000-0100-00000C000000}" name="Visibility"/>
    <tableColumn id="13" xr3:uid="{00000000-0010-0000-0100-00000D000000}" name="Month Label"/>
    <tableColumn id="14" xr3:uid="{00000000-0010-0000-0100-00000E000000}" name="Month Key"/>
    <tableColumn id="15" xr3:uid="{00000000-0010-0000-0100-00000F000000}" name="Year"/>
    <tableColumn id="16" xr3:uid="{00000000-0010-0000-0100-000010000000}" name="Season"/>
    <tableColumn id="17" xr3:uid="{00000000-0010-0000-0100-000011000000}" name="Primary Cause Resolved"/>
    <tableColumn id="18" xr3:uid="{00000000-0010-0000-0100-000012000000}" name="Crew Behavior Factors Resolved"/>
    <tableColumn id="19" xr3:uid="{00000000-0010-0000-0100-000013000000}" name="Cargo Type Resolved"/>
    <tableColumn id="20" xr3:uid="{00000000-0010-0000-0100-000014000000}" name="Vessel Age Years"/>
    <tableColumn id="21" xr3:uid="{00000000-0010-0000-0100-000015000000}" name="Fatalities"/>
    <tableColumn id="22" xr3:uid="{00000000-0010-0000-0100-000016000000}" name="Injuries"/>
    <tableColumn id="23" xr3:uid="{00000000-0010-0000-0100-000017000000}" name="Casualty Count"/>
    <tableColumn id="24" xr3:uid="{00000000-0010-0000-0100-000018000000}" name="Severity Weight"/>
    <tableColumn id="25" xr3:uid="{00000000-0010-0000-0100-000019000000}" name="Risk Index"/>
    <tableColumn id="26" xr3:uid="{00000000-0010-0000-0100-00001A000000}" name="Registry ID Captured"/>
    <tableColumn id="27" xr3:uid="{00000000-0010-0000-0100-00001B000000}" name="Voyage Captured"/>
    <tableColumn id="28" xr3:uid="{00000000-0010-0000-0100-00001C000000}" name="Weather Captured"/>
    <tableColumn id="29" xr3:uid="{00000000-0010-0000-0100-00001D000000}" name="Route Label"/>
    <tableColumn id="30" xr3:uid="{00000000-0010-0000-0100-00001E000000}" name="Standardization Score"/>
    <tableColumn id="31" xr3:uid="{00000000-0010-0000-0100-00001F000000}" name="Linked Evidence Flag"/>
    <tableColumn id="32" xr3:uid="{00000000-0010-0000-0100-000020000000}" name="Review Matured Flag"/>
    <tableColumn id="33" xr3:uid="{00000000-0010-0000-0100-000021000000}" name="Narrative"/>
    <tableColumn id="34" xr3:uid="{00000000-0010-0000-0100-000022000000}" name="Vessel Name"/>
    <tableColumn id="35" xr3:uid="{00000000-0010-0000-0100-000023000000}" name="Latitude"/>
    <tableColumn id="36" xr3:uid="{00000000-0010-0000-0100-000024000000}" name="Longitude"/>
    <tableColumn id="37" xr3:uid="{00000000-0010-0000-0100-000025000000}" name="Reporting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workbookViewId="0">
      <selection sqref="A1:J1"/>
    </sheetView>
  </sheetViews>
  <sheetFormatPr defaultRowHeight="15" x14ac:dyDescent="0.25"/>
  <cols>
    <col min="1" max="1" width="38" customWidth="1"/>
    <col min="2" max="2" width="22" customWidth="1"/>
    <col min="3" max="10" width="18" customWidth="1"/>
  </cols>
  <sheetData>
    <row r="1" spans="1:10" ht="26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.100000000000001" customHeight="1" x14ac:dyDescent="0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x14ac:dyDescent="0.25">
      <c r="A4" s="1" t="s">
        <v>2</v>
      </c>
    </row>
    <row r="5" spans="1:10" ht="75" x14ac:dyDescent="0.25">
      <c r="A5" s="2" t="s">
        <v>3</v>
      </c>
    </row>
    <row r="7" spans="1:10" x14ac:dyDescent="0.25">
      <c r="A7" s="1" t="s">
        <v>4</v>
      </c>
    </row>
    <row r="8" spans="1:10" x14ac:dyDescent="0.25">
      <c r="A8" t="s">
        <v>5</v>
      </c>
    </row>
    <row r="9" spans="1:10" x14ac:dyDescent="0.25">
      <c r="A9" t="s">
        <v>6</v>
      </c>
    </row>
    <row r="10" spans="1:10" x14ac:dyDescent="0.25">
      <c r="A10" t="s">
        <v>7</v>
      </c>
    </row>
    <row r="11" spans="1:10" x14ac:dyDescent="0.25">
      <c r="A11" t="s">
        <v>8</v>
      </c>
    </row>
    <row r="12" spans="1:10" x14ac:dyDescent="0.25">
      <c r="A12" t="s">
        <v>9</v>
      </c>
    </row>
    <row r="15" spans="1:10" x14ac:dyDescent="0.25">
      <c r="A15" s="3" t="s">
        <v>10</v>
      </c>
    </row>
    <row r="16" spans="1:10" ht="75" x14ac:dyDescent="0.25">
      <c r="A16" s="2" t="s">
        <v>11</v>
      </c>
    </row>
    <row r="18" spans="1:1" x14ac:dyDescent="0.25">
      <c r="A18" s="1" t="s">
        <v>12</v>
      </c>
    </row>
    <row r="19" spans="1:1" ht="75" x14ac:dyDescent="0.25">
      <c r="A19" s="2" t="s">
        <v>13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3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0" customWidth="1"/>
    <col min="3" max="4" width="16" customWidth="1"/>
    <col min="5" max="5" width="14" customWidth="1"/>
    <col min="6" max="6" width="22" customWidth="1"/>
    <col min="7" max="7" width="20" customWidth="1"/>
    <col min="8" max="8" width="18" customWidth="1"/>
    <col min="9" max="9" width="14" customWidth="1"/>
    <col min="10" max="11" width="16" customWidth="1"/>
    <col min="12" max="14" width="14" customWidth="1"/>
    <col min="15" max="15" width="18" customWidth="1"/>
    <col min="16" max="16" width="14" customWidth="1"/>
    <col min="17" max="17" width="18" customWidth="1"/>
    <col min="18" max="20" width="12" customWidth="1"/>
    <col min="21" max="21" width="18" customWidth="1"/>
    <col min="22" max="22" width="16" customWidth="1"/>
    <col min="23" max="23" width="18" customWidth="1"/>
    <col min="24" max="24" width="28" customWidth="1"/>
    <col min="25" max="25" width="14" customWidth="1"/>
    <col min="26" max="26" width="12" customWidth="1"/>
    <col min="27" max="27" width="14" customWidth="1"/>
    <col min="28" max="28" width="22" customWidth="1"/>
    <col min="29" max="29" width="18" customWidth="1"/>
    <col min="30" max="30" width="22" customWidth="1"/>
    <col min="31" max="31" width="24" customWidth="1"/>
    <col min="32" max="32" width="16" customWidth="1"/>
    <col min="33" max="33" width="18" customWidth="1"/>
    <col min="34" max="34" width="28" customWidth="1"/>
    <col min="35" max="35" width="18" customWidth="1"/>
    <col min="36" max="36" width="22" customWidth="1"/>
    <col min="37" max="37" width="14" customWidth="1"/>
    <col min="38" max="38" width="16" customWidth="1"/>
    <col min="39" max="39" width="14" customWidth="1"/>
    <col min="40" max="40" width="34" customWidth="1"/>
    <col min="41" max="42" width="32" customWidth="1"/>
    <col min="43" max="43" width="28" customWidth="1"/>
    <col min="44" max="44" width="18" customWidth="1"/>
    <col min="45" max="45" width="34" customWidth="1"/>
    <col min="46" max="46" width="22" customWidth="1"/>
    <col min="47" max="47" width="12" customWidth="1"/>
    <col min="48" max="48" width="14" customWidth="1"/>
    <col min="49" max="50" width="12" customWidth="1"/>
    <col min="51" max="51" width="34" customWidth="1"/>
    <col min="52" max="52" width="28" customWidth="1"/>
  </cols>
  <sheetData>
    <row r="1" spans="1:52" ht="26.1" customHeight="1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52" ht="20.100000000000001" customHeight="1" x14ac:dyDescent="0.25">
      <c r="A2" s="14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52" ht="30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  <c r="R4" s="4" t="s">
        <v>33</v>
      </c>
      <c r="S4" s="4" t="s">
        <v>34</v>
      </c>
      <c r="T4" s="4" t="s">
        <v>35</v>
      </c>
      <c r="U4" s="4" t="s">
        <v>36</v>
      </c>
      <c r="V4" s="4" t="s">
        <v>37</v>
      </c>
      <c r="W4" s="4" t="s">
        <v>38</v>
      </c>
      <c r="X4" s="4" t="s">
        <v>39</v>
      </c>
      <c r="Y4" s="4" t="s">
        <v>40</v>
      </c>
      <c r="Z4" s="4" t="s">
        <v>41</v>
      </c>
      <c r="AA4" s="4" t="s">
        <v>42</v>
      </c>
      <c r="AB4" s="4" t="s">
        <v>43</v>
      </c>
      <c r="AC4" s="4" t="s">
        <v>44</v>
      </c>
      <c r="AD4" s="4" t="s">
        <v>45</v>
      </c>
      <c r="AE4" s="4" t="s">
        <v>46</v>
      </c>
      <c r="AF4" s="4" t="s">
        <v>47</v>
      </c>
      <c r="AG4" s="4" t="s">
        <v>48</v>
      </c>
      <c r="AH4" s="4" t="s">
        <v>49</v>
      </c>
      <c r="AI4" s="4" t="s">
        <v>50</v>
      </c>
      <c r="AJ4" s="4" t="s">
        <v>51</v>
      </c>
      <c r="AK4" s="4" t="s">
        <v>52</v>
      </c>
      <c r="AL4" s="4" t="s">
        <v>53</v>
      </c>
      <c r="AM4" s="4" t="s">
        <v>54</v>
      </c>
      <c r="AN4" s="4" t="s">
        <v>55</v>
      </c>
      <c r="AO4" s="4" t="s">
        <v>56</v>
      </c>
      <c r="AP4" s="4" t="s">
        <v>57</v>
      </c>
      <c r="AQ4" s="4" t="s">
        <v>58</v>
      </c>
      <c r="AR4" s="4" t="s">
        <v>59</v>
      </c>
      <c r="AS4" s="4" t="s">
        <v>60</v>
      </c>
      <c r="AT4" s="4" t="s">
        <v>61</v>
      </c>
      <c r="AU4" s="4" t="s">
        <v>62</v>
      </c>
      <c r="AV4" s="4" t="s">
        <v>63</v>
      </c>
      <c r="AW4" s="4" t="s">
        <v>64</v>
      </c>
      <c r="AX4" s="4" t="s">
        <v>65</v>
      </c>
      <c r="AY4" s="4" t="s">
        <v>66</v>
      </c>
      <c r="AZ4" s="4" t="s">
        <v>67</v>
      </c>
    </row>
    <row r="5" spans="1:52" ht="60" x14ac:dyDescent="0.25">
      <c r="A5" s="5" t="s">
        <v>68</v>
      </c>
      <c r="B5" s="6">
        <v>45669.184027777781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76</v>
      </c>
      <c r="K5" s="5" t="s">
        <v>77</v>
      </c>
      <c r="L5" s="5">
        <v>25000</v>
      </c>
      <c r="M5" s="5">
        <v>189.6</v>
      </c>
      <c r="N5" s="5">
        <v>32.200000000000003</v>
      </c>
      <c r="O5" s="5" t="s">
        <v>78</v>
      </c>
      <c r="P5" s="5">
        <v>11200</v>
      </c>
      <c r="Q5" s="5" t="s">
        <v>79</v>
      </c>
      <c r="R5" s="5">
        <v>2006</v>
      </c>
      <c r="S5" s="7">
        <v>14.663</v>
      </c>
      <c r="T5" s="7">
        <v>120.762</v>
      </c>
      <c r="U5" s="5" t="s">
        <v>80</v>
      </c>
      <c r="V5" s="5" t="s">
        <v>81</v>
      </c>
      <c r="W5" s="5" t="s">
        <v>82</v>
      </c>
      <c r="X5" s="5" t="s">
        <v>83</v>
      </c>
      <c r="Y5" s="8">
        <v>1.6</v>
      </c>
      <c r="Z5" s="9">
        <v>4</v>
      </c>
      <c r="AA5" s="5" t="s">
        <v>84</v>
      </c>
      <c r="AB5" s="5" t="s">
        <v>85</v>
      </c>
      <c r="AC5" s="5" t="s">
        <v>86</v>
      </c>
      <c r="AD5" s="5" t="s">
        <v>87</v>
      </c>
      <c r="AE5" s="5" t="s">
        <v>88</v>
      </c>
      <c r="AF5" s="5" t="s">
        <v>89</v>
      </c>
      <c r="AG5" s="5" t="s">
        <v>80</v>
      </c>
      <c r="AH5" s="5" t="s">
        <v>90</v>
      </c>
      <c r="AI5" s="5" t="s">
        <v>91</v>
      </c>
      <c r="AJ5" s="5" t="s">
        <v>92</v>
      </c>
      <c r="AK5" s="5" t="s">
        <v>93</v>
      </c>
      <c r="AL5" s="5" t="s">
        <v>94</v>
      </c>
      <c r="AM5" s="5" t="s">
        <v>95</v>
      </c>
      <c r="AN5" s="5" t="s">
        <v>96</v>
      </c>
      <c r="AO5" s="5" t="s">
        <v>97</v>
      </c>
      <c r="AP5" s="5" t="s">
        <v>98</v>
      </c>
      <c r="AQ5" s="5" t="s">
        <v>99</v>
      </c>
      <c r="AR5" s="5" t="s">
        <v>100</v>
      </c>
      <c r="AS5" s="5" t="s">
        <v>101</v>
      </c>
      <c r="AT5" s="5" t="s">
        <v>102</v>
      </c>
      <c r="AU5" s="5">
        <v>22</v>
      </c>
      <c r="AV5" s="5">
        <v>0</v>
      </c>
      <c r="AW5" s="5">
        <v>0</v>
      </c>
      <c r="AX5" s="5">
        <v>2</v>
      </c>
      <c r="AY5" s="5" t="s">
        <v>103</v>
      </c>
      <c r="AZ5" s="5" t="s">
        <v>104</v>
      </c>
    </row>
    <row r="6" spans="1:52" ht="60" x14ac:dyDescent="0.25">
      <c r="A6" s="5" t="s">
        <v>105</v>
      </c>
      <c r="B6" s="6">
        <v>45685.444444444453</v>
      </c>
      <c r="C6" s="5" t="s">
        <v>106</v>
      </c>
      <c r="D6" s="5" t="s">
        <v>70</v>
      </c>
      <c r="E6" s="5" t="s">
        <v>71</v>
      </c>
      <c r="F6" s="5" t="s">
        <v>107</v>
      </c>
      <c r="G6" s="5"/>
      <c r="H6" s="5" t="s">
        <v>108</v>
      </c>
      <c r="I6" s="5" t="s">
        <v>109</v>
      </c>
      <c r="J6" s="5" t="s">
        <v>110</v>
      </c>
      <c r="K6" s="5" t="s">
        <v>111</v>
      </c>
      <c r="L6" s="5">
        <v>29400</v>
      </c>
      <c r="M6" s="5">
        <v>183.8</v>
      </c>
      <c r="N6" s="5">
        <v>32</v>
      </c>
      <c r="O6" s="5" t="s">
        <v>112</v>
      </c>
      <c r="P6" s="5">
        <v>9780</v>
      </c>
      <c r="Q6" s="5" t="s">
        <v>113</v>
      </c>
      <c r="R6" s="5">
        <v>2008</v>
      </c>
      <c r="S6" s="7">
        <v>13.757999999999999</v>
      </c>
      <c r="T6" s="7">
        <v>121.07599999999999</v>
      </c>
      <c r="U6" s="5" t="s">
        <v>114</v>
      </c>
      <c r="V6" s="5" t="s">
        <v>114</v>
      </c>
      <c r="W6" s="5" t="s">
        <v>115</v>
      </c>
      <c r="X6" s="5" t="s">
        <v>116</v>
      </c>
      <c r="Y6" s="8">
        <v>1.4</v>
      </c>
      <c r="Z6" s="9">
        <v>4</v>
      </c>
      <c r="AA6" s="5" t="s">
        <v>117</v>
      </c>
      <c r="AB6" s="5" t="s">
        <v>118</v>
      </c>
      <c r="AC6" s="5" t="s">
        <v>119</v>
      </c>
      <c r="AD6" s="5" t="s">
        <v>120</v>
      </c>
      <c r="AE6" s="5" t="s">
        <v>121</v>
      </c>
      <c r="AF6" s="5" t="s">
        <v>114</v>
      </c>
      <c r="AG6" s="5" t="s">
        <v>122</v>
      </c>
      <c r="AH6" s="5" t="s">
        <v>123</v>
      </c>
      <c r="AI6" s="5" t="s">
        <v>124</v>
      </c>
      <c r="AJ6" s="5" t="s">
        <v>125</v>
      </c>
      <c r="AK6" s="5" t="s">
        <v>93</v>
      </c>
      <c r="AL6" s="5" t="s">
        <v>126</v>
      </c>
      <c r="AM6" s="5" t="s">
        <v>127</v>
      </c>
      <c r="AN6" s="5" t="s">
        <v>128</v>
      </c>
      <c r="AO6" s="5" t="s">
        <v>129</v>
      </c>
      <c r="AP6" s="5" t="s">
        <v>130</v>
      </c>
      <c r="AQ6" s="5" t="s">
        <v>131</v>
      </c>
      <c r="AR6" s="5" t="s">
        <v>132</v>
      </c>
      <c r="AS6" s="5" t="s">
        <v>133</v>
      </c>
      <c r="AT6" s="5" t="s">
        <v>134</v>
      </c>
      <c r="AU6" s="5">
        <v>28</v>
      </c>
      <c r="AV6" s="5">
        <v>0</v>
      </c>
      <c r="AW6" s="5">
        <v>0</v>
      </c>
      <c r="AX6" s="5">
        <v>4</v>
      </c>
      <c r="AY6" s="5" t="s">
        <v>135</v>
      </c>
      <c r="AZ6" s="5" t="s">
        <v>136</v>
      </c>
    </row>
    <row r="7" spans="1:52" ht="60" x14ac:dyDescent="0.25">
      <c r="A7" s="5" t="s">
        <v>137</v>
      </c>
      <c r="B7" s="6">
        <v>45694.010416666657</v>
      </c>
      <c r="C7" s="5" t="s">
        <v>138</v>
      </c>
      <c r="D7" s="5" t="s">
        <v>70</v>
      </c>
      <c r="E7" s="5" t="s">
        <v>71</v>
      </c>
      <c r="F7" s="5" t="s">
        <v>139</v>
      </c>
      <c r="G7" s="5"/>
      <c r="H7" s="5" t="s">
        <v>140</v>
      </c>
      <c r="I7" s="5" t="s">
        <v>75</v>
      </c>
      <c r="J7" s="5" t="s">
        <v>141</v>
      </c>
      <c r="K7" s="5" t="s">
        <v>142</v>
      </c>
      <c r="L7" s="5">
        <v>8450</v>
      </c>
      <c r="M7" s="5">
        <v>118.4</v>
      </c>
      <c r="N7" s="5">
        <v>18.3</v>
      </c>
      <c r="O7" s="5" t="s">
        <v>143</v>
      </c>
      <c r="P7" s="5">
        <v>6400</v>
      </c>
      <c r="Q7" s="5" t="s">
        <v>144</v>
      </c>
      <c r="R7" s="5">
        <v>2011</v>
      </c>
      <c r="S7" s="7">
        <v>10.231</v>
      </c>
      <c r="T7" s="7">
        <v>123.931</v>
      </c>
      <c r="U7" s="5" t="s">
        <v>145</v>
      </c>
      <c r="V7" s="5" t="s">
        <v>145</v>
      </c>
      <c r="W7" s="5" t="s">
        <v>146</v>
      </c>
      <c r="X7" s="5" t="s">
        <v>147</v>
      </c>
      <c r="Y7" s="8">
        <v>1</v>
      </c>
      <c r="Z7" s="9">
        <v>3</v>
      </c>
      <c r="AA7" s="5" t="s">
        <v>117</v>
      </c>
      <c r="AB7" s="5" t="s">
        <v>148</v>
      </c>
      <c r="AC7" s="5" t="s">
        <v>149</v>
      </c>
      <c r="AD7" s="5" t="s">
        <v>150</v>
      </c>
      <c r="AE7" s="5" t="s">
        <v>151</v>
      </c>
      <c r="AF7" s="5" t="s">
        <v>145</v>
      </c>
      <c r="AG7" s="5" t="s">
        <v>152</v>
      </c>
      <c r="AH7" s="5" t="s">
        <v>153</v>
      </c>
      <c r="AI7" s="5" t="s">
        <v>154</v>
      </c>
      <c r="AJ7" s="5" t="s">
        <v>155</v>
      </c>
      <c r="AK7" s="5" t="s">
        <v>156</v>
      </c>
      <c r="AL7" s="5" t="s">
        <v>157</v>
      </c>
      <c r="AM7" s="5" t="s">
        <v>158</v>
      </c>
      <c r="AN7" s="5" t="s">
        <v>159</v>
      </c>
      <c r="AO7" s="5" t="s">
        <v>160</v>
      </c>
      <c r="AP7" s="5" t="s">
        <v>161</v>
      </c>
      <c r="AQ7" s="5" t="s">
        <v>162</v>
      </c>
      <c r="AR7" s="5" t="s">
        <v>100</v>
      </c>
      <c r="AS7" s="5" t="s">
        <v>163</v>
      </c>
      <c r="AT7" s="5" t="s">
        <v>164</v>
      </c>
      <c r="AU7" s="5">
        <v>15</v>
      </c>
      <c r="AV7" s="5">
        <v>187</v>
      </c>
      <c r="AW7" s="5">
        <v>0</v>
      </c>
      <c r="AX7" s="5">
        <v>3</v>
      </c>
      <c r="AY7" s="5" t="s">
        <v>165</v>
      </c>
      <c r="AZ7" s="5" t="s">
        <v>166</v>
      </c>
    </row>
    <row r="8" spans="1:52" ht="75" x14ac:dyDescent="0.25">
      <c r="A8" s="5" t="s">
        <v>167</v>
      </c>
      <c r="B8" s="6">
        <v>45706.538194444453</v>
      </c>
      <c r="C8" s="5" t="s">
        <v>168</v>
      </c>
      <c r="D8" s="5" t="s">
        <v>169</v>
      </c>
      <c r="E8" s="5" t="s">
        <v>71</v>
      </c>
      <c r="F8" s="5" t="s">
        <v>170</v>
      </c>
      <c r="G8" s="5"/>
      <c r="H8" s="5" t="s">
        <v>171</v>
      </c>
      <c r="I8" s="5" t="s">
        <v>75</v>
      </c>
      <c r="J8" s="5" t="s">
        <v>172</v>
      </c>
      <c r="K8" s="5" t="s">
        <v>173</v>
      </c>
      <c r="L8" s="5">
        <v>6720</v>
      </c>
      <c r="M8" s="5">
        <v>109.3</v>
      </c>
      <c r="N8" s="5">
        <v>17.600000000000001</v>
      </c>
      <c r="O8" s="5" t="s">
        <v>174</v>
      </c>
      <c r="P8" s="5">
        <v>5810</v>
      </c>
      <c r="Q8" s="5" t="s">
        <v>175</v>
      </c>
      <c r="R8" s="5">
        <v>2009</v>
      </c>
      <c r="S8" s="7">
        <v>9.6959999999999997</v>
      </c>
      <c r="T8" s="7">
        <v>118.491</v>
      </c>
      <c r="U8" s="5" t="s">
        <v>176</v>
      </c>
      <c r="V8" s="5" t="s">
        <v>177</v>
      </c>
      <c r="W8" s="5" t="s">
        <v>178</v>
      </c>
      <c r="X8" s="5" t="s">
        <v>179</v>
      </c>
      <c r="Y8" s="8">
        <v>1.5</v>
      </c>
      <c r="Z8" s="9">
        <v>4</v>
      </c>
      <c r="AA8" s="5" t="s">
        <v>117</v>
      </c>
      <c r="AB8" s="5" t="s">
        <v>180</v>
      </c>
      <c r="AC8" s="5" t="s">
        <v>181</v>
      </c>
      <c r="AD8" s="5" t="s">
        <v>182</v>
      </c>
      <c r="AE8" s="5" t="s">
        <v>183</v>
      </c>
      <c r="AF8" s="5" t="s">
        <v>184</v>
      </c>
      <c r="AG8" s="5" t="s">
        <v>176</v>
      </c>
      <c r="AH8" s="5" t="s">
        <v>185</v>
      </c>
      <c r="AI8" s="5" t="s">
        <v>154</v>
      </c>
      <c r="AJ8" s="5" t="s">
        <v>186</v>
      </c>
      <c r="AK8" s="5" t="s">
        <v>156</v>
      </c>
      <c r="AL8" s="5" t="s">
        <v>187</v>
      </c>
      <c r="AM8" s="5" t="s">
        <v>95</v>
      </c>
      <c r="AN8" s="5" t="s">
        <v>188</v>
      </c>
      <c r="AO8" s="5" t="s">
        <v>189</v>
      </c>
      <c r="AP8" s="5" t="s">
        <v>190</v>
      </c>
      <c r="AQ8" s="5" t="s">
        <v>191</v>
      </c>
      <c r="AR8" s="5" t="s">
        <v>192</v>
      </c>
      <c r="AS8" s="5" t="s">
        <v>193</v>
      </c>
      <c r="AT8" s="5" t="s">
        <v>194</v>
      </c>
      <c r="AU8" s="5">
        <v>16</v>
      </c>
      <c r="AV8" s="5">
        <v>126</v>
      </c>
      <c r="AW8" s="5">
        <v>1</v>
      </c>
      <c r="AX8" s="5">
        <v>0</v>
      </c>
      <c r="AY8" s="5" t="s">
        <v>195</v>
      </c>
      <c r="AZ8" s="5" t="s">
        <v>196</v>
      </c>
    </row>
    <row r="9" spans="1:52" ht="60" x14ac:dyDescent="0.25">
      <c r="A9" s="5" t="s">
        <v>197</v>
      </c>
      <c r="B9" s="6">
        <v>45719.888888888891</v>
      </c>
      <c r="C9" s="5" t="s">
        <v>198</v>
      </c>
      <c r="D9" s="5" t="s">
        <v>169</v>
      </c>
      <c r="E9" s="5" t="s">
        <v>199</v>
      </c>
      <c r="F9" s="5" t="s">
        <v>200</v>
      </c>
      <c r="G9" s="5"/>
      <c r="H9" s="5" t="s">
        <v>201</v>
      </c>
      <c r="I9" s="5" t="s">
        <v>75</v>
      </c>
      <c r="J9" s="5"/>
      <c r="K9" s="5" t="s">
        <v>202</v>
      </c>
      <c r="L9" s="5">
        <v>110</v>
      </c>
      <c r="M9" s="5">
        <v>28.4</v>
      </c>
      <c r="N9" s="5">
        <v>6.9</v>
      </c>
      <c r="O9" s="5" t="s">
        <v>203</v>
      </c>
      <c r="P9" s="5">
        <v>540</v>
      </c>
      <c r="Q9" s="5"/>
      <c r="R9" s="5">
        <v>2002</v>
      </c>
      <c r="S9" s="7">
        <v>10.949</v>
      </c>
      <c r="T9" s="7">
        <v>125.574</v>
      </c>
      <c r="U9" s="5" t="s">
        <v>204</v>
      </c>
      <c r="V9" s="5" t="s">
        <v>205</v>
      </c>
      <c r="W9" s="5" t="s">
        <v>206</v>
      </c>
      <c r="X9" s="5" t="s">
        <v>207</v>
      </c>
      <c r="Y9" s="8">
        <v>3.8</v>
      </c>
      <c r="Z9" s="9">
        <v>8</v>
      </c>
      <c r="AA9" s="5" t="s">
        <v>208</v>
      </c>
      <c r="AB9" s="5" t="s">
        <v>209</v>
      </c>
      <c r="AC9" s="5" t="s">
        <v>210</v>
      </c>
      <c r="AD9" s="5" t="s">
        <v>209</v>
      </c>
      <c r="AE9" s="5" t="s">
        <v>211</v>
      </c>
      <c r="AF9" s="5" t="s">
        <v>204</v>
      </c>
      <c r="AG9" s="5" t="s">
        <v>212</v>
      </c>
      <c r="AH9" s="5" t="s">
        <v>213</v>
      </c>
      <c r="AI9" s="5" t="s">
        <v>214</v>
      </c>
      <c r="AJ9" s="5" t="s">
        <v>215</v>
      </c>
      <c r="AK9" s="5" t="s">
        <v>156</v>
      </c>
      <c r="AL9" s="5" t="s">
        <v>216</v>
      </c>
      <c r="AM9" s="5" t="s">
        <v>95</v>
      </c>
      <c r="AN9" s="5" t="s">
        <v>217</v>
      </c>
      <c r="AO9" s="5" t="s">
        <v>218</v>
      </c>
      <c r="AP9" s="5" t="s">
        <v>219</v>
      </c>
      <c r="AQ9" s="5" t="s">
        <v>220</v>
      </c>
      <c r="AR9" s="5" t="s">
        <v>221</v>
      </c>
      <c r="AS9" s="5" t="s">
        <v>222</v>
      </c>
      <c r="AT9" s="5" t="s">
        <v>223</v>
      </c>
      <c r="AU9" s="5">
        <v>10</v>
      </c>
      <c r="AV9" s="5">
        <v>0</v>
      </c>
      <c r="AW9" s="5">
        <v>3</v>
      </c>
      <c r="AX9" s="5">
        <v>2</v>
      </c>
      <c r="AY9" s="5" t="s">
        <v>224</v>
      </c>
      <c r="AZ9" s="5" t="s">
        <v>225</v>
      </c>
    </row>
    <row r="10" spans="1:52" ht="60" x14ac:dyDescent="0.25">
      <c r="A10" s="5" t="s">
        <v>226</v>
      </c>
      <c r="B10" s="6">
        <v>45732.354166666657</v>
      </c>
      <c r="C10" s="5" t="s">
        <v>227</v>
      </c>
      <c r="D10" s="5" t="s">
        <v>169</v>
      </c>
      <c r="E10" s="5" t="s">
        <v>199</v>
      </c>
      <c r="F10" s="5" t="s">
        <v>228</v>
      </c>
      <c r="G10" s="5"/>
      <c r="H10" s="5" t="s">
        <v>201</v>
      </c>
      <c r="I10" s="5" t="s">
        <v>75</v>
      </c>
      <c r="J10" s="5"/>
      <c r="K10" s="5" t="s">
        <v>229</v>
      </c>
      <c r="L10" s="5">
        <v>82</v>
      </c>
      <c r="M10" s="5">
        <v>24.1</v>
      </c>
      <c r="N10" s="5">
        <v>6.2</v>
      </c>
      <c r="O10" s="5" t="s">
        <v>203</v>
      </c>
      <c r="P10" s="5">
        <v>430</v>
      </c>
      <c r="Q10" s="5"/>
      <c r="R10" s="5">
        <v>2004</v>
      </c>
      <c r="S10" s="7">
        <v>6.8739999999999997</v>
      </c>
      <c r="T10" s="7">
        <v>125.729</v>
      </c>
      <c r="U10" s="5" t="s">
        <v>230</v>
      </c>
      <c r="V10" s="5" t="s">
        <v>231</v>
      </c>
      <c r="W10" s="5" t="s">
        <v>232</v>
      </c>
      <c r="X10" s="5" t="s">
        <v>233</v>
      </c>
      <c r="Y10" s="8">
        <v>3.1</v>
      </c>
      <c r="Z10" s="9">
        <v>7</v>
      </c>
      <c r="AA10" s="5" t="s">
        <v>84</v>
      </c>
      <c r="AB10" s="5" t="s">
        <v>234</v>
      </c>
      <c r="AC10" s="5" t="s">
        <v>235</v>
      </c>
      <c r="AD10" s="5" t="s">
        <v>234</v>
      </c>
      <c r="AE10" s="5" t="s">
        <v>236</v>
      </c>
      <c r="AF10" s="5" t="s">
        <v>237</v>
      </c>
      <c r="AG10" s="5" t="s">
        <v>230</v>
      </c>
      <c r="AH10" s="5" t="s">
        <v>238</v>
      </c>
      <c r="AI10" s="5" t="s">
        <v>214</v>
      </c>
      <c r="AJ10" s="5" t="s">
        <v>239</v>
      </c>
      <c r="AK10" s="5" t="s">
        <v>156</v>
      </c>
      <c r="AL10" s="5" t="s">
        <v>157</v>
      </c>
      <c r="AM10" s="5" t="s">
        <v>95</v>
      </c>
      <c r="AN10" s="5" t="s">
        <v>240</v>
      </c>
      <c r="AO10" s="5" t="s">
        <v>241</v>
      </c>
      <c r="AP10" s="5" t="s">
        <v>242</v>
      </c>
      <c r="AQ10" s="5" t="s">
        <v>162</v>
      </c>
      <c r="AR10" s="5" t="s">
        <v>221</v>
      </c>
      <c r="AS10" s="5" t="s">
        <v>243</v>
      </c>
      <c r="AT10" s="5" t="s">
        <v>223</v>
      </c>
      <c r="AU10" s="5">
        <v>8</v>
      </c>
      <c r="AV10" s="5">
        <v>0</v>
      </c>
      <c r="AW10" s="5">
        <v>2</v>
      </c>
      <c r="AX10" s="5">
        <v>1</v>
      </c>
      <c r="AY10" s="5" t="s">
        <v>244</v>
      </c>
      <c r="AZ10" s="5" t="s">
        <v>245</v>
      </c>
    </row>
    <row r="11" spans="1:52" ht="60" x14ac:dyDescent="0.25">
      <c r="A11" s="5" t="s">
        <v>246</v>
      </c>
      <c r="B11" s="6">
        <v>45745.243055555547</v>
      </c>
      <c r="C11" s="5" t="s">
        <v>69</v>
      </c>
      <c r="D11" s="5" t="s">
        <v>247</v>
      </c>
      <c r="E11" s="5" t="s">
        <v>248</v>
      </c>
      <c r="F11" s="5" t="s">
        <v>249</v>
      </c>
      <c r="G11" s="5"/>
      <c r="H11" s="5" t="s">
        <v>140</v>
      </c>
      <c r="I11" s="5" t="s">
        <v>75</v>
      </c>
      <c r="J11" s="5"/>
      <c r="K11" s="5" t="s">
        <v>250</v>
      </c>
      <c r="L11" s="5">
        <v>5120</v>
      </c>
      <c r="M11" s="5">
        <v>92.2</v>
      </c>
      <c r="N11" s="5">
        <v>16.7</v>
      </c>
      <c r="O11" s="5" t="s">
        <v>251</v>
      </c>
      <c r="P11" s="5">
        <v>4680</v>
      </c>
      <c r="Q11" s="5" t="s">
        <v>79</v>
      </c>
      <c r="R11" s="5">
        <v>2013</v>
      </c>
      <c r="S11" s="7">
        <v>12.753</v>
      </c>
      <c r="T11" s="7">
        <v>124.38</v>
      </c>
      <c r="U11" s="5" t="s">
        <v>252</v>
      </c>
      <c r="V11" s="5" t="s">
        <v>253</v>
      </c>
      <c r="W11" s="5" t="s">
        <v>254</v>
      </c>
      <c r="X11" s="5" t="s">
        <v>255</v>
      </c>
      <c r="Y11" s="8">
        <v>1.9</v>
      </c>
      <c r="Z11" s="9">
        <v>5</v>
      </c>
      <c r="AA11" s="5" t="s">
        <v>84</v>
      </c>
      <c r="AB11" s="5" t="s">
        <v>256</v>
      </c>
      <c r="AC11" s="5" t="s">
        <v>257</v>
      </c>
      <c r="AD11" s="5" t="s">
        <v>258</v>
      </c>
      <c r="AE11" s="5" t="s">
        <v>259</v>
      </c>
      <c r="AF11" s="5" t="s">
        <v>252</v>
      </c>
      <c r="AG11" s="5" t="s">
        <v>260</v>
      </c>
      <c r="AH11" s="5" t="s">
        <v>261</v>
      </c>
      <c r="AI11" s="5" t="s">
        <v>154</v>
      </c>
      <c r="AJ11" s="5" t="s">
        <v>262</v>
      </c>
      <c r="AK11" s="5" t="s">
        <v>156</v>
      </c>
      <c r="AL11" s="5" t="s">
        <v>94</v>
      </c>
      <c r="AM11" s="5" t="s">
        <v>158</v>
      </c>
      <c r="AN11" s="5" t="s">
        <v>263</v>
      </c>
      <c r="AO11" s="5" t="s">
        <v>264</v>
      </c>
      <c r="AP11" s="5" t="s">
        <v>265</v>
      </c>
      <c r="AQ11" s="5" t="s">
        <v>266</v>
      </c>
      <c r="AR11" s="5" t="s">
        <v>100</v>
      </c>
      <c r="AS11" s="5" t="s">
        <v>267</v>
      </c>
      <c r="AT11" s="5" t="s">
        <v>102</v>
      </c>
      <c r="AU11" s="5">
        <v>18</v>
      </c>
      <c r="AV11" s="5">
        <v>132</v>
      </c>
      <c r="AW11" s="5">
        <v>0</v>
      </c>
      <c r="AX11" s="5">
        <v>1</v>
      </c>
      <c r="AY11" s="5" t="s">
        <v>268</v>
      </c>
      <c r="AZ11" s="5" t="s">
        <v>269</v>
      </c>
    </row>
    <row r="12" spans="1:52" ht="60" x14ac:dyDescent="0.25">
      <c r="A12" s="5" t="s">
        <v>270</v>
      </c>
      <c r="B12" s="6">
        <v>45757.065972222219</v>
      </c>
      <c r="C12" s="5" t="s">
        <v>271</v>
      </c>
      <c r="D12" s="5" t="s">
        <v>272</v>
      </c>
      <c r="E12" s="5" t="s">
        <v>248</v>
      </c>
      <c r="F12" s="5" t="s">
        <v>273</v>
      </c>
      <c r="G12" s="5"/>
      <c r="H12" s="5" t="s">
        <v>74</v>
      </c>
      <c r="I12" s="5" t="s">
        <v>274</v>
      </c>
      <c r="J12" s="5" t="s">
        <v>275</v>
      </c>
      <c r="K12" s="5" t="s">
        <v>276</v>
      </c>
      <c r="L12" s="5">
        <v>27850</v>
      </c>
      <c r="M12" s="5">
        <v>190.4</v>
      </c>
      <c r="N12" s="5">
        <v>32.1</v>
      </c>
      <c r="O12" s="5" t="s">
        <v>277</v>
      </c>
      <c r="P12" s="5">
        <v>11860</v>
      </c>
      <c r="Q12" s="5" t="s">
        <v>278</v>
      </c>
      <c r="R12" s="5">
        <v>2007</v>
      </c>
      <c r="S12" s="7">
        <v>8.5429999999999993</v>
      </c>
      <c r="T12" s="7">
        <v>124.78400000000001</v>
      </c>
      <c r="U12" s="5" t="s">
        <v>279</v>
      </c>
      <c r="V12" s="5" t="s">
        <v>280</v>
      </c>
      <c r="W12" s="5" t="s">
        <v>281</v>
      </c>
      <c r="X12" s="5" t="s">
        <v>282</v>
      </c>
      <c r="Y12" s="8">
        <v>0.9</v>
      </c>
      <c r="Z12" s="9">
        <v>3</v>
      </c>
      <c r="AA12" s="5" t="s">
        <v>117</v>
      </c>
      <c r="AB12" s="5" t="s">
        <v>283</v>
      </c>
      <c r="AC12" s="5" t="s">
        <v>284</v>
      </c>
      <c r="AD12" s="5" t="s">
        <v>285</v>
      </c>
      <c r="AE12" s="5" t="s">
        <v>286</v>
      </c>
      <c r="AF12" s="5" t="s">
        <v>287</v>
      </c>
      <c r="AG12" s="5" t="s">
        <v>279</v>
      </c>
      <c r="AH12" s="5" t="s">
        <v>288</v>
      </c>
      <c r="AI12" s="5" t="s">
        <v>91</v>
      </c>
      <c r="AJ12" s="5" t="s">
        <v>289</v>
      </c>
      <c r="AK12" s="5" t="s">
        <v>93</v>
      </c>
      <c r="AL12" s="5" t="s">
        <v>94</v>
      </c>
      <c r="AM12" s="5" t="s">
        <v>158</v>
      </c>
      <c r="AN12" s="5" t="s">
        <v>290</v>
      </c>
      <c r="AO12" s="5" t="s">
        <v>291</v>
      </c>
      <c r="AP12" s="5" t="s">
        <v>292</v>
      </c>
      <c r="AQ12" s="5" t="s">
        <v>131</v>
      </c>
      <c r="AR12" s="5" t="s">
        <v>132</v>
      </c>
      <c r="AS12" s="5" t="s">
        <v>293</v>
      </c>
      <c r="AT12" s="5" t="s">
        <v>134</v>
      </c>
      <c r="AU12" s="5">
        <v>24</v>
      </c>
      <c r="AV12" s="5">
        <v>0</v>
      </c>
      <c r="AW12" s="5">
        <v>0</v>
      </c>
      <c r="AX12" s="5">
        <v>0</v>
      </c>
      <c r="AY12" s="5" t="s">
        <v>294</v>
      </c>
      <c r="AZ12" s="5" t="s">
        <v>295</v>
      </c>
    </row>
    <row r="13" spans="1:52" ht="60" x14ac:dyDescent="0.25">
      <c r="A13" s="5" t="s">
        <v>296</v>
      </c>
      <c r="B13" s="6">
        <v>45768.295138888891</v>
      </c>
      <c r="C13" s="5" t="s">
        <v>297</v>
      </c>
      <c r="D13" s="5" t="s">
        <v>272</v>
      </c>
      <c r="E13" s="5" t="s">
        <v>248</v>
      </c>
      <c r="F13" s="5" t="s">
        <v>298</v>
      </c>
      <c r="G13" s="5"/>
      <c r="H13" s="5" t="s">
        <v>140</v>
      </c>
      <c r="I13" s="5" t="s">
        <v>75</v>
      </c>
      <c r="J13" s="5"/>
      <c r="K13" s="5" t="s">
        <v>299</v>
      </c>
      <c r="L13" s="5">
        <v>3960</v>
      </c>
      <c r="M13" s="5">
        <v>74.599999999999994</v>
      </c>
      <c r="N13" s="5">
        <v>14.1</v>
      </c>
      <c r="O13" s="5" t="s">
        <v>143</v>
      </c>
      <c r="P13" s="5">
        <v>3210</v>
      </c>
      <c r="Q13" s="5" t="s">
        <v>175</v>
      </c>
      <c r="R13" s="5">
        <v>2014</v>
      </c>
      <c r="S13" s="7">
        <v>10.678000000000001</v>
      </c>
      <c r="T13" s="7">
        <v>122.578</v>
      </c>
      <c r="U13" s="5" t="s">
        <v>300</v>
      </c>
      <c r="V13" s="5" t="s">
        <v>300</v>
      </c>
      <c r="W13" s="5" t="s">
        <v>301</v>
      </c>
      <c r="X13" s="5" t="s">
        <v>302</v>
      </c>
      <c r="Y13" s="8">
        <v>1.3</v>
      </c>
      <c r="Z13" s="9">
        <v>4</v>
      </c>
      <c r="AA13" s="5" t="s">
        <v>117</v>
      </c>
      <c r="AB13" s="5" t="s">
        <v>303</v>
      </c>
      <c r="AC13" s="5" t="s">
        <v>304</v>
      </c>
      <c r="AD13" s="5" t="s">
        <v>303</v>
      </c>
      <c r="AE13" s="5" t="s">
        <v>305</v>
      </c>
      <c r="AF13" s="5" t="s">
        <v>300</v>
      </c>
      <c r="AG13" s="5" t="s">
        <v>306</v>
      </c>
      <c r="AH13" s="5" t="s">
        <v>307</v>
      </c>
      <c r="AI13" s="5" t="s">
        <v>154</v>
      </c>
      <c r="AJ13" s="5" t="s">
        <v>308</v>
      </c>
      <c r="AK13" s="5" t="s">
        <v>156</v>
      </c>
      <c r="AL13" s="5" t="s">
        <v>157</v>
      </c>
      <c r="AM13" s="5" t="s">
        <v>158</v>
      </c>
      <c r="AN13" s="5" t="s">
        <v>309</v>
      </c>
      <c r="AO13" s="5" t="s">
        <v>310</v>
      </c>
      <c r="AP13" s="5" t="s">
        <v>311</v>
      </c>
      <c r="AQ13" s="5" t="s">
        <v>266</v>
      </c>
      <c r="AR13" s="5" t="s">
        <v>132</v>
      </c>
      <c r="AS13" s="5" t="s">
        <v>312</v>
      </c>
      <c r="AT13" s="5" t="s">
        <v>164</v>
      </c>
      <c r="AU13" s="5">
        <v>12</v>
      </c>
      <c r="AV13" s="5">
        <v>82</v>
      </c>
      <c r="AW13" s="5">
        <v>0</v>
      </c>
      <c r="AX13" s="5">
        <v>0</v>
      </c>
      <c r="AY13" s="5" t="s">
        <v>313</v>
      </c>
      <c r="AZ13" s="5" t="s">
        <v>314</v>
      </c>
    </row>
    <row r="14" spans="1:52" ht="60" x14ac:dyDescent="0.25">
      <c r="A14" s="5" t="s">
        <v>315</v>
      </c>
      <c r="B14" s="6">
        <v>45785.697916666657</v>
      </c>
      <c r="C14" s="5" t="s">
        <v>69</v>
      </c>
      <c r="D14" s="5" t="s">
        <v>272</v>
      </c>
      <c r="E14" s="5" t="s">
        <v>316</v>
      </c>
      <c r="F14" s="5" t="s">
        <v>317</v>
      </c>
      <c r="G14" s="5"/>
      <c r="H14" s="5" t="s">
        <v>318</v>
      </c>
      <c r="I14" s="5" t="s">
        <v>319</v>
      </c>
      <c r="J14" s="5" t="s">
        <v>320</v>
      </c>
      <c r="K14" s="5" t="s">
        <v>321</v>
      </c>
      <c r="L14" s="5">
        <v>18600</v>
      </c>
      <c r="M14" s="5">
        <v>172.3</v>
      </c>
      <c r="N14" s="5">
        <v>27.9</v>
      </c>
      <c r="O14" s="5" t="s">
        <v>78</v>
      </c>
      <c r="P14" s="5">
        <v>10240</v>
      </c>
      <c r="Q14" s="5" t="s">
        <v>322</v>
      </c>
      <c r="R14" s="5">
        <v>2010</v>
      </c>
      <c r="S14" s="7">
        <v>14.37</v>
      </c>
      <c r="T14" s="7">
        <v>120.873</v>
      </c>
      <c r="U14" s="5" t="s">
        <v>80</v>
      </c>
      <c r="V14" s="5" t="s">
        <v>81</v>
      </c>
      <c r="W14" s="5" t="s">
        <v>82</v>
      </c>
      <c r="X14" s="5" t="s">
        <v>323</v>
      </c>
      <c r="Y14" s="8">
        <v>1.1000000000000001</v>
      </c>
      <c r="Z14" s="9">
        <v>4</v>
      </c>
      <c r="AA14" s="5" t="s">
        <v>84</v>
      </c>
      <c r="AB14" s="5" t="s">
        <v>324</v>
      </c>
      <c r="AC14" s="5" t="s">
        <v>325</v>
      </c>
      <c r="AD14" s="5" t="s">
        <v>326</v>
      </c>
      <c r="AE14" s="5" t="s">
        <v>327</v>
      </c>
      <c r="AF14" s="5" t="s">
        <v>114</v>
      </c>
      <c r="AG14" s="5" t="s">
        <v>80</v>
      </c>
      <c r="AH14" s="5" t="s">
        <v>328</v>
      </c>
      <c r="AI14" s="5" t="s">
        <v>329</v>
      </c>
      <c r="AJ14" s="5" t="s">
        <v>330</v>
      </c>
      <c r="AK14" s="5" t="s">
        <v>93</v>
      </c>
      <c r="AL14" s="5" t="s">
        <v>94</v>
      </c>
      <c r="AM14" s="5" t="s">
        <v>127</v>
      </c>
      <c r="AN14" s="5" t="s">
        <v>331</v>
      </c>
      <c r="AO14" s="5" t="s">
        <v>332</v>
      </c>
      <c r="AP14" s="5" t="s">
        <v>333</v>
      </c>
      <c r="AQ14" s="5" t="s">
        <v>220</v>
      </c>
      <c r="AR14" s="5" t="s">
        <v>100</v>
      </c>
      <c r="AS14" s="5" t="s">
        <v>334</v>
      </c>
      <c r="AT14" s="5" t="s">
        <v>194</v>
      </c>
      <c r="AU14" s="5">
        <v>20</v>
      </c>
      <c r="AV14" s="5">
        <v>0</v>
      </c>
      <c r="AW14" s="5">
        <v>0</v>
      </c>
      <c r="AX14" s="5">
        <v>0</v>
      </c>
      <c r="AY14" s="5" t="s">
        <v>335</v>
      </c>
      <c r="AZ14" s="5" t="s">
        <v>336</v>
      </c>
    </row>
    <row r="15" spans="1:52" ht="60" x14ac:dyDescent="0.25">
      <c r="A15" s="5" t="s">
        <v>337</v>
      </c>
      <c r="B15" s="6">
        <v>45803.131944444453</v>
      </c>
      <c r="C15" s="5" t="s">
        <v>138</v>
      </c>
      <c r="D15" s="5" t="s">
        <v>70</v>
      </c>
      <c r="E15" s="5" t="s">
        <v>248</v>
      </c>
      <c r="F15" s="5" t="s">
        <v>338</v>
      </c>
      <c r="G15" s="5"/>
      <c r="H15" s="5" t="s">
        <v>339</v>
      </c>
      <c r="I15" s="5" t="s">
        <v>75</v>
      </c>
      <c r="J15" s="5"/>
      <c r="K15" s="5" t="s">
        <v>340</v>
      </c>
      <c r="L15" s="5">
        <v>5120</v>
      </c>
      <c r="M15" s="5">
        <v>91.2</v>
      </c>
      <c r="N15" s="5">
        <v>15.4</v>
      </c>
      <c r="O15" s="5" t="s">
        <v>203</v>
      </c>
      <c r="P15" s="5">
        <v>4460</v>
      </c>
      <c r="Q15" s="5" t="s">
        <v>341</v>
      </c>
      <c r="R15" s="5">
        <v>2015</v>
      </c>
      <c r="S15" s="7">
        <v>13.787000000000001</v>
      </c>
      <c r="T15" s="7">
        <v>121.04</v>
      </c>
      <c r="U15" s="5" t="s">
        <v>114</v>
      </c>
      <c r="V15" s="5" t="s">
        <v>114</v>
      </c>
      <c r="W15" s="5" t="s">
        <v>115</v>
      </c>
      <c r="X15" s="5" t="s">
        <v>116</v>
      </c>
      <c r="Y15" s="8">
        <v>1.2</v>
      </c>
      <c r="Z15" s="9">
        <v>3</v>
      </c>
      <c r="AA15" s="5" t="s">
        <v>117</v>
      </c>
      <c r="AB15" s="5" t="s">
        <v>342</v>
      </c>
      <c r="AC15" s="5" t="s">
        <v>343</v>
      </c>
      <c r="AD15" s="5" t="s">
        <v>342</v>
      </c>
      <c r="AE15" s="5" t="s">
        <v>344</v>
      </c>
      <c r="AF15" s="5" t="s">
        <v>114</v>
      </c>
      <c r="AG15" s="5" t="s">
        <v>122</v>
      </c>
      <c r="AH15" s="5" t="s">
        <v>123</v>
      </c>
      <c r="AI15" s="5" t="s">
        <v>339</v>
      </c>
      <c r="AJ15" s="5" t="s">
        <v>345</v>
      </c>
      <c r="AK15" s="5" t="s">
        <v>156</v>
      </c>
      <c r="AL15" s="5" t="s">
        <v>126</v>
      </c>
      <c r="AM15" s="5" t="s">
        <v>158</v>
      </c>
      <c r="AN15" s="5" t="s">
        <v>346</v>
      </c>
      <c r="AO15" s="5" t="s">
        <v>347</v>
      </c>
      <c r="AP15" s="5" t="s">
        <v>348</v>
      </c>
      <c r="AQ15" s="5" t="s">
        <v>162</v>
      </c>
      <c r="AR15" s="5" t="s">
        <v>100</v>
      </c>
      <c r="AS15" s="5" t="s">
        <v>349</v>
      </c>
      <c r="AT15" s="5" t="s">
        <v>164</v>
      </c>
      <c r="AU15" s="5">
        <v>16</v>
      </c>
      <c r="AV15" s="5">
        <v>0</v>
      </c>
      <c r="AW15" s="5">
        <v>0</v>
      </c>
      <c r="AX15" s="5">
        <v>1</v>
      </c>
      <c r="AY15" s="5" t="s">
        <v>350</v>
      </c>
      <c r="AZ15" s="5" t="s">
        <v>351</v>
      </c>
    </row>
    <row r="16" spans="1:52" ht="60" x14ac:dyDescent="0.25">
      <c r="A16" s="5" t="s">
        <v>352</v>
      </c>
      <c r="B16" s="6">
        <v>45819.402777777781</v>
      </c>
      <c r="C16" s="5" t="s">
        <v>69</v>
      </c>
      <c r="D16" s="5" t="s">
        <v>70</v>
      </c>
      <c r="E16" s="5" t="s">
        <v>71</v>
      </c>
      <c r="F16" s="5" t="s">
        <v>353</v>
      </c>
      <c r="G16" s="5"/>
      <c r="H16" s="5" t="s">
        <v>140</v>
      </c>
      <c r="I16" s="5" t="s">
        <v>75</v>
      </c>
      <c r="J16" s="5"/>
      <c r="K16" s="5" t="s">
        <v>354</v>
      </c>
      <c r="L16" s="5">
        <v>7180</v>
      </c>
      <c r="M16" s="5">
        <v>116.1</v>
      </c>
      <c r="N16" s="5">
        <v>18.2</v>
      </c>
      <c r="O16" s="5" t="s">
        <v>143</v>
      </c>
      <c r="P16" s="5">
        <v>6180</v>
      </c>
      <c r="Q16" s="5" t="s">
        <v>341</v>
      </c>
      <c r="R16" s="5">
        <v>2010</v>
      </c>
      <c r="S16" s="7">
        <v>10.207000000000001</v>
      </c>
      <c r="T16" s="7">
        <v>123.955</v>
      </c>
      <c r="U16" s="5" t="s">
        <v>145</v>
      </c>
      <c r="V16" s="5" t="s">
        <v>145</v>
      </c>
      <c r="W16" s="5" t="s">
        <v>146</v>
      </c>
      <c r="X16" s="5" t="s">
        <v>147</v>
      </c>
      <c r="Y16" s="8">
        <v>1.4</v>
      </c>
      <c r="Z16" s="9">
        <v>4</v>
      </c>
      <c r="AA16" s="5" t="s">
        <v>84</v>
      </c>
      <c r="AB16" s="5" t="s">
        <v>355</v>
      </c>
      <c r="AC16" s="5" t="s">
        <v>356</v>
      </c>
      <c r="AD16" s="5" t="s">
        <v>355</v>
      </c>
      <c r="AE16" s="5" t="s">
        <v>357</v>
      </c>
      <c r="AF16" s="5" t="s">
        <v>145</v>
      </c>
      <c r="AG16" s="5" t="s">
        <v>152</v>
      </c>
      <c r="AH16" s="5" t="s">
        <v>153</v>
      </c>
      <c r="AI16" s="5" t="s">
        <v>154</v>
      </c>
      <c r="AJ16" s="5" t="s">
        <v>358</v>
      </c>
      <c r="AK16" s="5" t="s">
        <v>156</v>
      </c>
      <c r="AL16" s="5" t="s">
        <v>157</v>
      </c>
      <c r="AM16" s="5" t="s">
        <v>127</v>
      </c>
      <c r="AN16" s="5" t="s">
        <v>359</v>
      </c>
      <c r="AO16" s="5" t="s">
        <v>360</v>
      </c>
      <c r="AP16" s="5" t="s">
        <v>361</v>
      </c>
      <c r="AQ16" s="5" t="s">
        <v>266</v>
      </c>
      <c r="AR16" s="5" t="s">
        <v>100</v>
      </c>
      <c r="AS16" s="5" t="s">
        <v>362</v>
      </c>
      <c r="AT16" s="5" t="s">
        <v>102</v>
      </c>
      <c r="AU16" s="5">
        <v>18</v>
      </c>
      <c r="AV16" s="5">
        <v>145</v>
      </c>
      <c r="AW16" s="5">
        <v>0</v>
      </c>
      <c r="AX16" s="5">
        <v>5</v>
      </c>
      <c r="AY16" s="5" t="s">
        <v>363</v>
      </c>
      <c r="AZ16" s="5" t="s">
        <v>364</v>
      </c>
    </row>
    <row r="17" spans="1:52" ht="60" x14ac:dyDescent="0.25">
      <c r="A17" s="5" t="s">
        <v>365</v>
      </c>
      <c r="B17" s="6">
        <v>45837.591666666667</v>
      </c>
      <c r="C17" s="5" t="s">
        <v>297</v>
      </c>
      <c r="D17" s="5" t="s">
        <v>70</v>
      </c>
      <c r="E17" s="5" t="s">
        <v>71</v>
      </c>
      <c r="F17" s="5" t="s">
        <v>298</v>
      </c>
      <c r="G17" s="5"/>
      <c r="H17" s="5" t="s">
        <v>140</v>
      </c>
      <c r="I17" s="5" t="s">
        <v>75</v>
      </c>
      <c r="J17" s="5"/>
      <c r="K17" s="5" t="s">
        <v>299</v>
      </c>
      <c r="L17" s="5">
        <v>3960</v>
      </c>
      <c r="M17" s="5">
        <v>74.599999999999994</v>
      </c>
      <c r="N17" s="5">
        <v>14.1</v>
      </c>
      <c r="O17" s="5" t="s">
        <v>143</v>
      </c>
      <c r="P17" s="5">
        <v>3210</v>
      </c>
      <c r="Q17" s="5" t="s">
        <v>175</v>
      </c>
      <c r="R17" s="5">
        <v>2014</v>
      </c>
      <c r="S17" s="7">
        <v>9.7690000000000001</v>
      </c>
      <c r="T17" s="7">
        <v>124.03100000000001</v>
      </c>
      <c r="U17" s="5" t="s">
        <v>366</v>
      </c>
      <c r="V17" s="5" t="s">
        <v>367</v>
      </c>
      <c r="W17" s="5" t="s">
        <v>368</v>
      </c>
      <c r="X17" s="5" t="s">
        <v>369</v>
      </c>
      <c r="Y17" s="8">
        <v>1.7</v>
      </c>
      <c r="Z17" s="9">
        <v>5</v>
      </c>
      <c r="AA17" s="5" t="s">
        <v>84</v>
      </c>
      <c r="AB17" s="5" t="s">
        <v>303</v>
      </c>
      <c r="AC17" s="5" t="s">
        <v>304</v>
      </c>
      <c r="AD17" s="5" t="s">
        <v>303</v>
      </c>
      <c r="AE17" s="5" t="s">
        <v>305</v>
      </c>
      <c r="AF17" s="5" t="s">
        <v>145</v>
      </c>
      <c r="AG17" s="5" t="s">
        <v>366</v>
      </c>
      <c r="AH17" s="5" t="s">
        <v>370</v>
      </c>
      <c r="AI17" s="5" t="s">
        <v>154</v>
      </c>
      <c r="AJ17" s="5" t="s">
        <v>308</v>
      </c>
      <c r="AK17" s="5" t="s">
        <v>156</v>
      </c>
      <c r="AL17" s="5" t="s">
        <v>187</v>
      </c>
      <c r="AM17" s="5" t="s">
        <v>158</v>
      </c>
      <c r="AN17" s="5" t="s">
        <v>371</v>
      </c>
      <c r="AO17" s="5" t="s">
        <v>372</v>
      </c>
      <c r="AP17" s="5" t="s">
        <v>373</v>
      </c>
      <c r="AQ17" s="5" t="s">
        <v>162</v>
      </c>
      <c r="AR17" s="5" t="s">
        <v>132</v>
      </c>
      <c r="AS17" s="5" t="s">
        <v>374</v>
      </c>
      <c r="AT17" s="5" t="s">
        <v>134</v>
      </c>
      <c r="AU17" s="5">
        <v>12</v>
      </c>
      <c r="AV17" s="5">
        <v>82</v>
      </c>
      <c r="AW17" s="5">
        <v>0</v>
      </c>
      <c r="AX17" s="5">
        <v>1</v>
      </c>
      <c r="AY17" s="5" t="s">
        <v>375</v>
      </c>
      <c r="AZ17" s="5" t="s">
        <v>376</v>
      </c>
    </row>
    <row r="18" spans="1:52" ht="60" x14ac:dyDescent="0.25">
      <c r="A18" s="5" t="s">
        <v>377</v>
      </c>
      <c r="B18" s="6">
        <v>45852.961805555547</v>
      </c>
      <c r="C18" s="5" t="s">
        <v>69</v>
      </c>
      <c r="D18" s="5" t="s">
        <v>70</v>
      </c>
      <c r="E18" s="5" t="s">
        <v>71</v>
      </c>
      <c r="F18" s="5" t="s">
        <v>378</v>
      </c>
      <c r="G18" s="5"/>
      <c r="H18" s="5" t="s">
        <v>108</v>
      </c>
      <c r="I18" s="5" t="s">
        <v>109</v>
      </c>
      <c r="J18" s="5" t="s">
        <v>379</v>
      </c>
      <c r="K18" s="5" t="s">
        <v>380</v>
      </c>
      <c r="L18" s="5">
        <v>23110</v>
      </c>
      <c r="M18" s="5">
        <v>174.2</v>
      </c>
      <c r="N18" s="5">
        <v>28.6</v>
      </c>
      <c r="O18" s="5" t="s">
        <v>112</v>
      </c>
      <c r="P18" s="5">
        <v>9340</v>
      </c>
      <c r="Q18" s="5" t="s">
        <v>113</v>
      </c>
      <c r="R18" s="5">
        <v>2012</v>
      </c>
      <c r="S18" s="7">
        <v>10.989000000000001</v>
      </c>
      <c r="T18" s="7">
        <v>125.54300000000001</v>
      </c>
      <c r="U18" s="5" t="s">
        <v>204</v>
      </c>
      <c r="V18" s="5" t="s">
        <v>205</v>
      </c>
      <c r="W18" s="5" t="s">
        <v>206</v>
      </c>
      <c r="X18" s="5" t="s">
        <v>207</v>
      </c>
      <c r="Y18" s="8">
        <v>2.2000000000000002</v>
      </c>
      <c r="Z18" s="9">
        <v>6</v>
      </c>
      <c r="AA18" s="5" t="s">
        <v>208</v>
      </c>
      <c r="AB18" s="5" t="s">
        <v>381</v>
      </c>
      <c r="AC18" s="5" t="s">
        <v>382</v>
      </c>
      <c r="AD18" s="5" t="s">
        <v>383</v>
      </c>
      <c r="AE18" s="5" t="s">
        <v>384</v>
      </c>
      <c r="AF18" s="5" t="s">
        <v>204</v>
      </c>
      <c r="AG18" s="5" t="s">
        <v>212</v>
      </c>
      <c r="AH18" s="5" t="s">
        <v>213</v>
      </c>
      <c r="AI18" s="5" t="s">
        <v>124</v>
      </c>
      <c r="AJ18" s="5" t="s">
        <v>385</v>
      </c>
      <c r="AK18" s="5" t="s">
        <v>93</v>
      </c>
      <c r="AL18" s="5" t="s">
        <v>126</v>
      </c>
      <c r="AM18" s="5" t="s">
        <v>95</v>
      </c>
      <c r="AN18" s="5" t="s">
        <v>386</v>
      </c>
      <c r="AO18" s="5" t="s">
        <v>387</v>
      </c>
      <c r="AP18" s="5" t="s">
        <v>388</v>
      </c>
      <c r="AQ18" s="5" t="s">
        <v>389</v>
      </c>
      <c r="AR18" s="5" t="s">
        <v>100</v>
      </c>
      <c r="AS18" s="5" t="s">
        <v>390</v>
      </c>
      <c r="AT18" s="5" t="s">
        <v>164</v>
      </c>
      <c r="AU18" s="5">
        <v>26</v>
      </c>
      <c r="AV18" s="5">
        <v>0</v>
      </c>
      <c r="AW18" s="5">
        <v>0</v>
      </c>
      <c r="AX18" s="5">
        <v>2</v>
      </c>
      <c r="AY18" s="5" t="s">
        <v>391</v>
      </c>
      <c r="AZ18" s="5" t="s">
        <v>392</v>
      </c>
    </row>
    <row r="19" spans="1:52" ht="60" x14ac:dyDescent="0.25">
      <c r="A19" s="5" t="s">
        <v>393</v>
      </c>
      <c r="B19" s="6">
        <v>45869.262499999997</v>
      </c>
      <c r="C19" s="5" t="s">
        <v>394</v>
      </c>
      <c r="D19" s="5" t="s">
        <v>395</v>
      </c>
      <c r="E19" s="5" t="s">
        <v>71</v>
      </c>
      <c r="F19" s="5" t="s">
        <v>107</v>
      </c>
      <c r="G19" s="5"/>
      <c r="H19" s="5" t="s">
        <v>108</v>
      </c>
      <c r="I19" s="5" t="s">
        <v>109</v>
      </c>
      <c r="J19" s="5" t="s">
        <v>110</v>
      </c>
      <c r="K19" s="5" t="s">
        <v>111</v>
      </c>
      <c r="L19" s="5">
        <v>29400</v>
      </c>
      <c r="M19" s="5">
        <v>183.8</v>
      </c>
      <c r="N19" s="5">
        <v>32</v>
      </c>
      <c r="O19" s="5" t="s">
        <v>112</v>
      </c>
      <c r="P19" s="5">
        <v>9780</v>
      </c>
      <c r="Q19" s="5" t="s">
        <v>113</v>
      </c>
      <c r="R19" s="5">
        <v>2008</v>
      </c>
      <c r="S19" s="7">
        <v>9.6539999999999999</v>
      </c>
      <c r="T19" s="7">
        <v>118.535</v>
      </c>
      <c r="U19" s="5" t="s">
        <v>176</v>
      </c>
      <c r="V19" s="5" t="s">
        <v>177</v>
      </c>
      <c r="W19" s="5" t="s">
        <v>178</v>
      </c>
      <c r="X19" s="5" t="s">
        <v>179</v>
      </c>
      <c r="Y19" s="8">
        <v>1.6</v>
      </c>
      <c r="Z19" s="9">
        <v>4</v>
      </c>
      <c r="AA19" s="5" t="s">
        <v>117</v>
      </c>
      <c r="AB19" s="5" t="s">
        <v>118</v>
      </c>
      <c r="AC19" s="5" t="s">
        <v>119</v>
      </c>
      <c r="AD19" s="5" t="s">
        <v>120</v>
      </c>
      <c r="AE19" s="5" t="s">
        <v>121</v>
      </c>
      <c r="AF19" s="5" t="s">
        <v>184</v>
      </c>
      <c r="AG19" s="5" t="s">
        <v>176</v>
      </c>
      <c r="AH19" s="5" t="s">
        <v>185</v>
      </c>
      <c r="AI19" s="5" t="s">
        <v>124</v>
      </c>
      <c r="AJ19" s="5" t="s">
        <v>125</v>
      </c>
      <c r="AK19" s="5" t="s">
        <v>93</v>
      </c>
      <c r="AL19" s="5" t="s">
        <v>94</v>
      </c>
      <c r="AM19" s="5" t="s">
        <v>95</v>
      </c>
      <c r="AN19" s="5" t="s">
        <v>396</v>
      </c>
      <c r="AO19" s="5" t="s">
        <v>397</v>
      </c>
      <c r="AP19" s="5" t="s">
        <v>398</v>
      </c>
      <c r="AQ19" s="5" t="s">
        <v>131</v>
      </c>
      <c r="AR19" s="5" t="s">
        <v>132</v>
      </c>
      <c r="AS19" s="5" t="s">
        <v>399</v>
      </c>
      <c r="AT19" s="5" t="s">
        <v>400</v>
      </c>
      <c r="AU19" s="5">
        <v>28</v>
      </c>
      <c r="AV19" s="5">
        <v>0</v>
      </c>
      <c r="AW19" s="5">
        <v>0</v>
      </c>
      <c r="AX19" s="5">
        <v>0</v>
      </c>
      <c r="AY19" s="5" t="s">
        <v>401</v>
      </c>
      <c r="AZ19" s="5" t="s">
        <v>402</v>
      </c>
    </row>
    <row r="20" spans="1:52" ht="60" x14ac:dyDescent="0.25">
      <c r="A20" s="5" t="s">
        <v>403</v>
      </c>
      <c r="B20" s="6">
        <v>45884.113888888889</v>
      </c>
      <c r="C20" s="5" t="s">
        <v>271</v>
      </c>
      <c r="D20" s="5" t="s">
        <v>272</v>
      </c>
      <c r="E20" s="5" t="s">
        <v>248</v>
      </c>
      <c r="F20" s="5" t="s">
        <v>404</v>
      </c>
      <c r="G20" s="5"/>
      <c r="H20" s="5" t="s">
        <v>318</v>
      </c>
      <c r="I20" s="5" t="s">
        <v>405</v>
      </c>
      <c r="J20" s="5" t="s">
        <v>406</v>
      </c>
      <c r="K20" s="5" t="s">
        <v>407</v>
      </c>
      <c r="L20" s="5">
        <v>20310</v>
      </c>
      <c r="M20" s="5">
        <v>176.7</v>
      </c>
      <c r="N20" s="5">
        <v>28.1</v>
      </c>
      <c r="O20" s="5" t="s">
        <v>78</v>
      </c>
      <c r="P20" s="5">
        <v>10620</v>
      </c>
      <c r="Q20" s="5" t="s">
        <v>322</v>
      </c>
      <c r="R20" s="5">
        <v>2011</v>
      </c>
      <c r="S20" s="7">
        <v>6.8710000000000004</v>
      </c>
      <c r="T20" s="7">
        <v>125.75700000000001</v>
      </c>
      <c r="U20" s="5" t="s">
        <v>230</v>
      </c>
      <c r="V20" s="5" t="s">
        <v>231</v>
      </c>
      <c r="W20" s="5" t="s">
        <v>232</v>
      </c>
      <c r="X20" s="5" t="s">
        <v>233</v>
      </c>
      <c r="Y20" s="8">
        <v>1</v>
      </c>
      <c r="Z20" s="9">
        <v>3</v>
      </c>
      <c r="AA20" s="5" t="s">
        <v>117</v>
      </c>
      <c r="AB20" s="5" t="s">
        <v>408</v>
      </c>
      <c r="AC20" s="5" t="s">
        <v>409</v>
      </c>
      <c r="AD20" s="5" t="s">
        <v>410</v>
      </c>
      <c r="AE20" s="5" t="s">
        <v>411</v>
      </c>
      <c r="AF20" s="5" t="s">
        <v>237</v>
      </c>
      <c r="AG20" s="5" t="s">
        <v>230</v>
      </c>
      <c r="AH20" s="5" t="s">
        <v>238</v>
      </c>
      <c r="AI20" s="5" t="s">
        <v>329</v>
      </c>
      <c r="AJ20" s="5" t="s">
        <v>412</v>
      </c>
      <c r="AK20" s="5" t="s">
        <v>93</v>
      </c>
      <c r="AL20" s="5" t="s">
        <v>94</v>
      </c>
      <c r="AM20" s="5" t="s">
        <v>158</v>
      </c>
      <c r="AN20" s="5" t="s">
        <v>413</v>
      </c>
      <c r="AO20" s="5" t="s">
        <v>414</v>
      </c>
      <c r="AP20" s="5" t="s">
        <v>415</v>
      </c>
      <c r="AQ20" s="5" t="s">
        <v>131</v>
      </c>
      <c r="AR20" s="5" t="s">
        <v>132</v>
      </c>
      <c r="AS20" s="5" t="s">
        <v>416</v>
      </c>
      <c r="AT20" s="5" t="s">
        <v>134</v>
      </c>
      <c r="AU20" s="5">
        <v>23</v>
      </c>
      <c r="AV20" s="5">
        <v>0</v>
      </c>
      <c r="AW20" s="5">
        <v>0</v>
      </c>
      <c r="AX20" s="5">
        <v>0</v>
      </c>
      <c r="AY20" s="5" t="s">
        <v>417</v>
      </c>
      <c r="AZ20" s="5" t="s">
        <v>418</v>
      </c>
    </row>
    <row r="21" spans="1:52" ht="60" x14ac:dyDescent="0.25">
      <c r="A21" s="5" t="s">
        <v>419</v>
      </c>
      <c r="B21" s="6">
        <v>45904.786111111112</v>
      </c>
      <c r="C21" s="5" t="s">
        <v>420</v>
      </c>
      <c r="D21" s="5" t="s">
        <v>169</v>
      </c>
      <c r="E21" s="5" t="s">
        <v>199</v>
      </c>
      <c r="F21" s="5" t="s">
        <v>421</v>
      </c>
      <c r="G21" s="5"/>
      <c r="H21" s="5" t="s">
        <v>339</v>
      </c>
      <c r="I21" s="5" t="s">
        <v>75</v>
      </c>
      <c r="J21" s="5"/>
      <c r="K21" s="5" t="s">
        <v>422</v>
      </c>
      <c r="L21" s="5">
        <v>4210</v>
      </c>
      <c r="M21" s="5">
        <v>86.5</v>
      </c>
      <c r="N21" s="5">
        <v>14.9</v>
      </c>
      <c r="O21" s="5" t="s">
        <v>203</v>
      </c>
      <c r="P21" s="5">
        <v>3940</v>
      </c>
      <c r="Q21" s="5" t="s">
        <v>79</v>
      </c>
      <c r="R21" s="5">
        <v>2008</v>
      </c>
      <c r="S21" s="7">
        <v>12.746</v>
      </c>
      <c r="T21" s="7">
        <v>124.402</v>
      </c>
      <c r="U21" s="5" t="s">
        <v>252</v>
      </c>
      <c r="V21" s="5" t="s">
        <v>253</v>
      </c>
      <c r="W21" s="5" t="s">
        <v>254</v>
      </c>
      <c r="X21" s="5" t="s">
        <v>255</v>
      </c>
      <c r="Y21" s="8">
        <v>3.6</v>
      </c>
      <c r="Z21" s="9">
        <v>8</v>
      </c>
      <c r="AA21" s="5" t="s">
        <v>208</v>
      </c>
      <c r="AB21" s="5" t="s">
        <v>423</v>
      </c>
      <c r="AC21" s="5" t="s">
        <v>424</v>
      </c>
      <c r="AD21" s="5" t="s">
        <v>425</v>
      </c>
      <c r="AE21" s="5" t="s">
        <v>426</v>
      </c>
      <c r="AF21" s="5" t="s">
        <v>252</v>
      </c>
      <c r="AG21" s="5" t="s">
        <v>260</v>
      </c>
      <c r="AH21" s="5" t="s">
        <v>261</v>
      </c>
      <c r="AI21" s="5" t="s">
        <v>339</v>
      </c>
      <c r="AJ21" s="5" t="s">
        <v>427</v>
      </c>
      <c r="AK21" s="5" t="s">
        <v>156</v>
      </c>
      <c r="AL21" s="5" t="s">
        <v>216</v>
      </c>
      <c r="AM21" s="5" t="s">
        <v>95</v>
      </c>
      <c r="AN21" s="5" t="s">
        <v>428</v>
      </c>
      <c r="AO21" s="5" t="s">
        <v>429</v>
      </c>
      <c r="AP21" s="5" t="s">
        <v>430</v>
      </c>
      <c r="AQ21" s="5" t="s">
        <v>220</v>
      </c>
      <c r="AR21" s="5" t="s">
        <v>221</v>
      </c>
      <c r="AS21" s="5" t="s">
        <v>431</v>
      </c>
      <c r="AT21" s="5" t="s">
        <v>432</v>
      </c>
      <c r="AU21" s="5">
        <v>17</v>
      </c>
      <c r="AV21" s="5">
        <v>0</v>
      </c>
      <c r="AW21" s="5">
        <v>1</v>
      </c>
      <c r="AX21" s="5">
        <v>4</v>
      </c>
      <c r="AY21" s="5" t="s">
        <v>433</v>
      </c>
      <c r="AZ21" s="5" t="s">
        <v>434</v>
      </c>
    </row>
    <row r="22" spans="1:52" ht="60" x14ac:dyDescent="0.25">
      <c r="A22" s="5" t="s">
        <v>435</v>
      </c>
      <c r="B22" s="6">
        <v>45922.465277777781</v>
      </c>
      <c r="C22" s="5" t="s">
        <v>69</v>
      </c>
      <c r="D22" s="5" t="s">
        <v>247</v>
      </c>
      <c r="E22" s="5" t="s">
        <v>71</v>
      </c>
      <c r="F22" s="5" t="s">
        <v>273</v>
      </c>
      <c r="G22" s="5"/>
      <c r="H22" s="5" t="s">
        <v>74</v>
      </c>
      <c r="I22" s="5" t="s">
        <v>274</v>
      </c>
      <c r="J22" s="5" t="s">
        <v>275</v>
      </c>
      <c r="K22" s="5" t="s">
        <v>276</v>
      </c>
      <c r="L22" s="5">
        <v>27850</v>
      </c>
      <c r="M22" s="5">
        <v>190.4</v>
      </c>
      <c r="N22" s="5">
        <v>32.1</v>
      </c>
      <c r="O22" s="5" t="s">
        <v>277</v>
      </c>
      <c r="P22" s="5">
        <v>11860</v>
      </c>
      <c r="Q22" s="5" t="s">
        <v>278</v>
      </c>
      <c r="R22" s="5">
        <v>2007</v>
      </c>
      <c r="S22" s="7">
        <v>8.5120000000000005</v>
      </c>
      <c r="T22" s="7">
        <v>124.747</v>
      </c>
      <c r="U22" s="5" t="s">
        <v>279</v>
      </c>
      <c r="V22" s="5" t="s">
        <v>280</v>
      </c>
      <c r="W22" s="5" t="s">
        <v>281</v>
      </c>
      <c r="X22" s="5" t="s">
        <v>282</v>
      </c>
      <c r="Y22" s="8">
        <v>0.8</v>
      </c>
      <c r="Z22" s="9">
        <v>2</v>
      </c>
      <c r="AA22" s="5" t="s">
        <v>117</v>
      </c>
      <c r="AB22" s="5" t="s">
        <v>283</v>
      </c>
      <c r="AC22" s="5" t="s">
        <v>284</v>
      </c>
      <c r="AD22" s="5" t="s">
        <v>285</v>
      </c>
      <c r="AE22" s="5" t="s">
        <v>286</v>
      </c>
      <c r="AF22" s="5" t="s">
        <v>287</v>
      </c>
      <c r="AG22" s="5" t="s">
        <v>279</v>
      </c>
      <c r="AH22" s="5" t="s">
        <v>288</v>
      </c>
      <c r="AI22" s="5" t="s">
        <v>91</v>
      </c>
      <c r="AJ22" s="5" t="s">
        <v>289</v>
      </c>
      <c r="AK22" s="5" t="s">
        <v>93</v>
      </c>
      <c r="AL22" s="5" t="s">
        <v>126</v>
      </c>
      <c r="AM22" s="5" t="s">
        <v>95</v>
      </c>
      <c r="AN22" s="5" t="s">
        <v>436</v>
      </c>
      <c r="AO22" s="5" t="s">
        <v>437</v>
      </c>
      <c r="AP22" s="5" t="s">
        <v>438</v>
      </c>
      <c r="AQ22" s="5" t="s">
        <v>266</v>
      </c>
      <c r="AR22" s="5" t="s">
        <v>100</v>
      </c>
      <c r="AS22" s="5" t="s">
        <v>439</v>
      </c>
      <c r="AT22" s="5" t="s">
        <v>440</v>
      </c>
      <c r="AU22" s="5">
        <v>24</v>
      </c>
      <c r="AV22" s="5">
        <v>0</v>
      </c>
      <c r="AW22" s="5">
        <v>0</v>
      </c>
      <c r="AX22" s="5">
        <v>1</v>
      </c>
      <c r="AY22" s="5" t="s">
        <v>441</v>
      </c>
      <c r="AZ22" s="5" t="s">
        <v>442</v>
      </c>
    </row>
    <row r="23" spans="1:52" ht="60" x14ac:dyDescent="0.25">
      <c r="A23" s="5" t="s">
        <v>443</v>
      </c>
      <c r="B23" s="6">
        <v>45939.936111111107</v>
      </c>
      <c r="C23" s="5" t="s">
        <v>69</v>
      </c>
      <c r="D23" s="5" t="s">
        <v>247</v>
      </c>
      <c r="E23" s="5" t="s">
        <v>248</v>
      </c>
      <c r="F23" s="5" t="s">
        <v>338</v>
      </c>
      <c r="G23" s="5"/>
      <c r="H23" s="5" t="s">
        <v>339</v>
      </c>
      <c r="I23" s="5" t="s">
        <v>75</v>
      </c>
      <c r="J23" s="5"/>
      <c r="K23" s="5" t="s">
        <v>340</v>
      </c>
      <c r="L23" s="5">
        <v>5120</v>
      </c>
      <c r="M23" s="5">
        <v>91.2</v>
      </c>
      <c r="N23" s="5">
        <v>15.4</v>
      </c>
      <c r="O23" s="5" t="s">
        <v>203</v>
      </c>
      <c r="P23" s="5">
        <v>4460</v>
      </c>
      <c r="Q23" s="5" t="s">
        <v>341</v>
      </c>
      <c r="R23" s="5">
        <v>2015</v>
      </c>
      <c r="S23" s="7">
        <v>10.683999999999999</v>
      </c>
      <c r="T23" s="7">
        <v>122.599</v>
      </c>
      <c r="U23" s="5" t="s">
        <v>300</v>
      </c>
      <c r="V23" s="5" t="s">
        <v>300</v>
      </c>
      <c r="W23" s="5" t="s">
        <v>301</v>
      </c>
      <c r="X23" s="5" t="s">
        <v>302</v>
      </c>
      <c r="Y23" s="8">
        <v>1.1000000000000001</v>
      </c>
      <c r="Z23" s="9">
        <v>3</v>
      </c>
      <c r="AA23" s="5" t="s">
        <v>84</v>
      </c>
      <c r="AB23" s="5" t="s">
        <v>342</v>
      </c>
      <c r="AC23" s="5" t="s">
        <v>343</v>
      </c>
      <c r="AD23" s="5" t="s">
        <v>342</v>
      </c>
      <c r="AE23" s="5" t="s">
        <v>344</v>
      </c>
      <c r="AF23" s="5" t="s">
        <v>300</v>
      </c>
      <c r="AG23" s="5" t="s">
        <v>306</v>
      </c>
      <c r="AH23" s="5" t="s">
        <v>307</v>
      </c>
      <c r="AI23" s="5" t="s">
        <v>339</v>
      </c>
      <c r="AJ23" s="5" t="s">
        <v>345</v>
      </c>
      <c r="AK23" s="5" t="s">
        <v>156</v>
      </c>
      <c r="AL23" s="5" t="s">
        <v>94</v>
      </c>
      <c r="AM23" s="5" t="s">
        <v>158</v>
      </c>
      <c r="AN23" s="5" t="s">
        <v>444</v>
      </c>
      <c r="AO23" s="5" t="s">
        <v>445</v>
      </c>
      <c r="AP23" s="5" t="s">
        <v>446</v>
      </c>
      <c r="AQ23" s="5" t="s">
        <v>191</v>
      </c>
      <c r="AR23" s="5" t="s">
        <v>100</v>
      </c>
      <c r="AS23" s="5" t="s">
        <v>447</v>
      </c>
      <c r="AT23" s="5" t="s">
        <v>102</v>
      </c>
      <c r="AU23" s="5">
        <v>16</v>
      </c>
      <c r="AV23" s="5">
        <v>0</v>
      </c>
      <c r="AW23" s="5">
        <v>0</v>
      </c>
      <c r="AX23" s="5">
        <v>1</v>
      </c>
      <c r="AY23" s="5" t="s">
        <v>448</v>
      </c>
      <c r="AZ23" s="5" t="s">
        <v>449</v>
      </c>
    </row>
    <row r="24" spans="1:52" ht="60" x14ac:dyDescent="0.25">
      <c r="A24" s="5" t="s">
        <v>450</v>
      </c>
      <c r="B24" s="6">
        <v>45957.565972222219</v>
      </c>
      <c r="C24" s="5" t="s">
        <v>69</v>
      </c>
      <c r="D24" s="5" t="s">
        <v>169</v>
      </c>
      <c r="E24" s="5" t="s">
        <v>199</v>
      </c>
      <c r="F24" s="5" t="s">
        <v>72</v>
      </c>
      <c r="G24" s="5" t="s">
        <v>73</v>
      </c>
      <c r="H24" s="5" t="s">
        <v>74</v>
      </c>
      <c r="I24" s="5" t="s">
        <v>75</v>
      </c>
      <c r="J24" s="5" t="s">
        <v>76</v>
      </c>
      <c r="K24" s="5" t="s">
        <v>77</v>
      </c>
      <c r="L24" s="5">
        <v>25000</v>
      </c>
      <c r="M24" s="5">
        <v>189.6</v>
      </c>
      <c r="N24" s="5">
        <v>32.200000000000003</v>
      </c>
      <c r="O24" s="5" t="s">
        <v>78</v>
      </c>
      <c r="P24" s="5">
        <v>11200</v>
      </c>
      <c r="Q24" s="5" t="s">
        <v>79</v>
      </c>
      <c r="R24" s="5">
        <v>2006</v>
      </c>
      <c r="S24" s="7">
        <v>14.632999999999999</v>
      </c>
      <c r="T24" s="7">
        <v>120.81100000000001</v>
      </c>
      <c r="U24" s="5" t="s">
        <v>80</v>
      </c>
      <c r="V24" s="5" t="s">
        <v>81</v>
      </c>
      <c r="W24" s="5" t="s">
        <v>82</v>
      </c>
      <c r="X24" s="5" t="s">
        <v>83</v>
      </c>
      <c r="Y24" s="8">
        <v>1.5</v>
      </c>
      <c r="Z24" s="9">
        <v>4</v>
      </c>
      <c r="AA24" s="5" t="s">
        <v>208</v>
      </c>
      <c r="AB24" s="5" t="s">
        <v>85</v>
      </c>
      <c r="AC24" s="5" t="s">
        <v>86</v>
      </c>
      <c r="AD24" s="5" t="s">
        <v>87</v>
      </c>
      <c r="AE24" s="5" t="s">
        <v>88</v>
      </c>
      <c r="AF24" s="5" t="s">
        <v>89</v>
      </c>
      <c r="AG24" s="5" t="s">
        <v>80</v>
      </c>
      <c r="AH24" s="5" t="s">
        <v>90</v>
      </c>
      <c r="AI24" s="5" t="s">
        <v>91</v>
      </c>
      <c r="AJ24" s="5" t="s">
        <v>92</v>
      </c>
      <c r="AK24" s="5" t="s">
        <v>93</v>
      </c>
      <c r="AL24" s="5" t="s">
        <v>126</v>
      </c>
      <c r="AM24" s="5" t="s">
        <v>95</v>
      </c>
      <c r="AN24" s="5" t="s">
        <v>451</v>
      </c>
      <c r="AO24" s="5" t="s">
        <v>452</v>
      </c>
      <c r="AP24" s="5" t="s">
        <v>453</v>
      </c>
      <c r="AQ24" s="5" t="s">
        <v>99</v>
      </c>
      <c r="AR24" s="5" t="s">
        <v>100</v>
      </c>
      <c r="AS24" s="5" t="s">
        <v>454</v>
      </c>
      <c r="AT24" s="5" t="s">
        <v>102</v>
      </c>
      <c r="AU24" s="5">
        <v>22</v>
      </c>
      <c r="AV24" s="5">
        <v>0</v>
      </c>
      <c r="AW24" s="5">
        <v>2</v>
      </c>
      <c r="AX24" s="5">
        <v>6</v>
      </c>
      <c r="AY24" s="5" t="s">
        <v>455</v>
      </c>
      <c r="AZ24" s="5" t="s">
        <v>456</v>
      </c>
    </row>
    <row r="25" spans="1:52" ht="60" x14ac:dyDescent="0.25">
      <c r="A25" s="5" t="s">
        <v>457</v>
      </c>
      <c r="B25" s="6">
        <v>45974.737500000003</v>
      </c>
      <c r="C25" s="5" t="s">
        <v>106</v>
      </c>
      <c r="D25" s="5" t="s">
        <v>169</v>
      </c>
      <c r="E25" s="5" t="s">
        <v>199</v>
      </c>
      <c r="F25" s="5" t="s">
        <v>378</v>
      </c>
      <c r="G25" s="5"/>
      <c r="H25" s="5" t="s">
        <v>108</v>
      </c>
      <c r="I25" s="5" t="s">
        <v>109</v>
      </c>
      <c r="J25" s="5" t="s">
        <v>379</v>
      </c>
      <c r="K25" s="5" t="s">
        <v>380</v>
      </c>
      <c r="L25" s="5">
        <v>23110</v>
      </c>
      <c r="M25" s="5">
        <v>174.2</v>
      </c>
      <c r="N25" s="5">
        <v>28.6</v>
      </c>
      <c r="O25" s="5" t="s">
        <v>112</v>
      </c>
      <c r="P25" s="5">
        <v>9340</v>
      </c>
      <c r="Q25" s="5" t="s">
        <v>113</v>
      </c>
      <c r="R25" s="5">
        <v>2012</v>
      </c>
      <c r="S25" s="7">
        <v>13.779</v>
      </c>
      <c r="T25" s="7">
        <v>121.083</v>
      </c>
      <c r="U25" s="5" t="s">
        <v>114</v>
      </c>
      <c r="V25" s="5" t="s">
        <v>114</v>
      </c>
      <c r="W25" s="5" t="s">
        <v>115</v>
      </c>
      <c r="X25" s="5" t="s">
        <v>116</v>
      </c>
      <c r="Y25" s="8">
        <v>1.8</v>
      </c>
      <c r="Z25" s="9">
        <v>5</v>
      </c>
      <c r="AA25" s="5" t="s">
        <v>84</v>
      </c>
      <c r="AB25" s="5" t="s">
        <v>381</v>
      </c>
      <c r="AC25" s="5" t="s">
        <v>382</v>
      </c>
      <c r="AD25" s="5" t="s">
        <v>383</v>
      </c>
      <c r="AE25" s="5" t="s">
        <v>384</v>
      </c>
      <c r="AF25" s="5" t="s">
        <v>114</v>
      </c>
      <c r="AG25" s="5" t="s">
        <v>122</v>
      </c>
      <c r="AH25" s="5" t="s">
        <v>123</v>
      </c>
      <c r="AI25" s="5" t="s">
        <v>124</v>
      </c>
      <c r="AJ25" s="5" t="s">
        <v>385</v>
      </c>
      <c r="AK25" s="5" t="s">
        <v>93</v>
      </c>
      <c r="AL25" s="5" t="s">
        <v>216</v>
      </c>
      <c r="AM25" s="5" t="s">
        <v>95</v>
      </c>
      <c r="AN25" s="5" t="s">
        <v>458</v>
      </c>
      <c r="AO25" s="5" t="s">
        <v>459</v>
      </c>
      <c r="AP25" s="5" t="s">
        <v>460</v>
      </c>
      <c r="AQ25" s="5" t="s">
        <v>461</v>
      </c>
      <c r="AR25" s="5" t="s">
        <v>132</v>
      </c>
      <c r="AS25" s="5" t="s">
        <v>462</v>
      </c>
      <c r="AT25" s="5" t="s">
        <v>463</v>
      </c>
      <c r="AU25" s="5">
        <v>26</v>
      </c>
      <c r="AV25" s="5">
        <v>0</v>
      </c>
      <c r="AW25" s="5">
        <v>1</v>
      </c>
      <c r="AX25" s="5">
        <v>8</v>
      </c>
      <c r="AY25" s="5" t="s">
        <v>464</v>
      </c>
      <c r="AZ25" s="5" t="s">
        <v>465</v>
      </c>
    </row>
    <row r="26" spans="1:52" ht="60" x14ac:dyDescent="0.25">
      <c r="A26" s="5" t="s">
        <v>466</v>
      </c>
      <c r="B26" s="6">
        <v>45989.206944444442</v>
      </c>
      <c r="C26" s="5" t="s">
        <v>69</v>
      </c>
      <c r="D26" s="5" t="s">
        <v>272</v>
      </c>
      <c r="E26" s="5" t="s">
        <v>316</v>
      </c>
      <c r="F26" s="5" t="s">
        <v>139</v>
      </c>
      <c r="G26" s="5"/>
      <c r="H26" s="5" t="s">
        <v>140</v>
      </c>
      <c r="I26" s="5" t="s">
        <v>75</v>
      </c>
      <c r="J26" s="5" t="s">
        <v>141</v>
      </c>
      <c r="K26" s="5" t="s">
        <v>142</v>
      </c>
      <c r="L26" s="5">
        <v>8450</v>
      </c>
      <c r="M26" s="5">
        <v>118.4</v>
      </c>
      <c r="N26" s="5">
        <v>18.3</v>
      </c>
      <c r="O26" s="5" t="s">
        <v>143</v>
      </c>
      <c r="P26" s="5">
        <v>6400</v>
      </c>
      <c r="Q26" s="5" t="s">
        <v>144</v>
      </c>
      <c r="R26" s="5">
        <v>2011</v>
      </c>
      <c r="S26" s="7">
        <v>10.238</v>
      </c>
      <c r="T26" s="7">
        <v>123.95099999999999</v>
      </c>
      <c r="U26" s="5" t="s">
        <v>145</v>
      </c>
      <c r="V26" s="5" t="s">
        <v>145</v>
      </c>
      <c r="W26" s="5" t="s">
        <v>146</v>
      </c>
      <c r="X26" s="5" t="s">
        <v>147</v>
      </c>
      <c r="Y26" s="8">
        <v>1</v>
      </c>
      <c r="Z26" s="9">
        <v>3</v>
      </c>
      <c r="AA26" s="5" t="s">
        <v>117</v>
      </c>
      <c r="AB26" s="5" t="s">
        <v>148</v>
      </c>
      <c r="AC26" s="5" t="s">
        <v>149</v>
      </c>
      <c r="AD26" s="5" t="s">
        <v>150</v>
      </c>
      <c r="AE26" s="5" t="s">
        <v>151</v>
      </c>
      <c r="AF26" s="5" t="s">
        <v>145</v>
      </c>
      <c r="AG26" s="5" t="s">
        <v>152</v>
      </c>
      <c r="AH26" s="5" t="s">
        <v>153</v>
      </c>
      <c r="AI26" s="5" t="s">
        <v>154</v>
      </c>
      <c r="AJ26" s="5" t="s">
        <v>155</v>
      </c>
      <c r="AK26" s="5" t="s">
        <v>156</v>
      </c>
      <c r="AL26" s="5" t="s">
        <v>157</v>
      </c>
      <c r="AM26" s="5" t="s">
        <v>127</v>
      </c>
      <c r="AN26" s="5" t="s">
        <v>467</v>
      </c>
      <c r="AO26" s="5" t="s">
        <v>468</v>
      </c>
      <c r="AP26" s="5" t="s">
        <v>469</v>
      </c>
      <c r="AQ26" s="5" t="s">
        <v>266</v>
      </c>
      <c r="AR26" s="5" t="s">
        <v>100</v>
      </c>
      <c r="AS26" s="5" t="s">
        <v>470</v>
      </c>
      <c r="AT26" s="5" t="s">
        <v>194</v>
      </c>
      <c r="AU26" s="5">
        <v>15</v>
      </c>
      <c r="AV26" s="5">
        <v>187</v>
      </c>
      <c r="AW26" s="5">
        <v>0</v>
      </c>
      <c r="AX26" s="5">
        <v>0</v>
      </c>
      <c r="AY26" s="5" t="s">
        <v>471</v>
      </c>
      <c r="AZ26" s="5" t="s">
        <v>472</v>
      </c>
    </row>
    <row r="27" spans="1:52" ht="60" x14ac:dyDescent="0.25">
      <c r="A27" s="5" t="s">
        <v>473</v>
      </c>
      <c r="B27" s="6">
        <v>46007.386111111111</v>
      </c>
      <c r="C27" s="5" t="s">
        <v>227</v>
      </c>
      <c r="D27" s="5" t="s">
        <v>169</v>
      </c>
      <c r="E27" s="5" t="s">
        <v>71</v>
      </c>
      <c r="F27" s="5" t="s">
        <v>474</v>
      </c>
      <c r="G27" s="5"/>
      <c r="H27" s="5" t="s">
        <v>201</v>
      </c>
      <c r="I27" s="5" t="s">
        <v>75</v>
      </c>
      <c r="J27" s="5"/>
      <c r="K27" s="5" t="s">
        <v>475</v>
      </c>
      <c r="L27" s="5">
        <v>94</v>
      </c>
      <c r="M27" s="5">
        <v>25.7</v>
      </c>
      <c r="N27" s="5">
        <v>6.5</v>
      </c>
      <c r="O27" s="5" t="s">
        <v>203</v>
      </c>
      <c r="P27" s="5">
        <v>470</v>
      </c>
      <c r="Q27" s="5"/>
      <c r="R27" s="5">
        <v>2005</v>
      </c>
      <c r="S27" s="7">
        <v>10.955</v>
      </c>
      <c r="T27" s="7">
        <v>125.55200000000001</v>
      </c>
      <c r="U27" s="5" t="s">
        <v>204</v>
      </c>
      <c r="V27" s="5" t="s">
        <v>205</v>
      </c>
      <c r="W27" s="5" t="s">
        <v>206</v>
      </c>
      <c r="X27" s="5" t="s">
        <v>207</v>
      </c>
      <c r="Y27" s="8">
        <v>2.9</v>
      </c>
      <c r="Z27" s="9">
        <v>7</v>
      </c>
      <c r="AA27" s="5" t="s">
        <v>84</v>
      </c>
      <c r="AB27" s="5" t="s">
        <v>476</v>
      </c>
      <c r="AC27" s="5" t="s">
        <v>477</v>
      </c>
      <c r="AD27" s="5" t="s">
        <v>476</v>
      </c>
      <c r="AE27" s="5" t="s">
        <v>478</v>
      </c>
      <c r="AF27" s="5" t="s">
        <v>204</v>
      </c>
      <c r="AG27" s="5" t="s">
        <v>212</v>
      </c>
      <c r="AH27" s="5" t="s">
        <v>213</v>
      </c>
      <c r="AI27" s="5" t="s">
        <v>214</v>
      </c>
      <c r="AJ27" s="5" t="s">
        <v>479</v>
      </c>
      <c r="AK27" s="5" t="s">
        <v>156</v>
      </c>
      <c r="AL27" s="5" t="s">
        <v>216</v>
      </c>
      <c r="AM27" s="5" t="s">
        <v>95</v>
      </c>
      <c r="AN27" s="5" t="s">
        <v>480</v>
      </c>
      <c r="AO27" s="5" t="s">
        <v>481</v>
      </c>
      <c r="AP27" s="5" t="s">
        <v>482</v>
      </c>
      <c r="AQ27" s="5" t="s">
        <v>162</v>
      </c>
      <c r="AR27" s="5" t="s">
        <v>221</v>
      </c>
      <c r="AS27" s="5" t="s">
        <v>483</v>
      </c>
      <c r="AT27" s="5" t="s">
        <v>432</v>
      </c>
      <c r="AU27" s="5">
        <v>9</v>
      </c>
      <c r="AV27" s="5">
        <v>0</v>
      </c>
      <c r="AW27" s="5">
        <v>1</v>
      </c>
      <c r="AX27" s="5">
        <v>2</v>
      </c>
      <c r="AY27" s="5" t="s">
        <v>484</v>
      </c>
      <c r="AZ27" s="5" t="s">
        <v>485</v>
      </c>
    </row>
    <row r="28" spans="1:52" ht="60" x14ac:dyDescent="0.25">
      <c r="A28" s="5" t="s">
        <v>486</v>
      </c>
      <c r="B28" s="6">
        <v>46030.605555555558</v>
      </c>
      <c r="C28" s="5" t="s">
        <v>69</v>
      </c>
      <c r="D28" s="5" t="s">
        <v>70</v>
      </c>
      <c r="E28" s="5" t="s">
        <v>71</v>
      </c>
      <c r="F28" s="5" t="s">
        <v>200</v>
      </c>
      <c r="G28" s="5"/>
      <c r="H28" s="5" t="s">
        <v>201</v>
      </c>
      <c r="I28" s="5" t="s">
        <v>75</v>
      </c>
      <c r="J28" s="5"/>
      <c r="K28" s="5" t="s">
        <v>202</v>
      </c>
      <c r="L28" s="5">
        <v>110</v>
      </c>
      <c r="M28" s="5">
        <v>28.4</v>
      </c>
      <c r="N28" s="5">
        <v>6.9</v>
      </c>
      <c r="O28" s="5" t="s">
        <v>203</v>
      </c>
      <c r="P28" s="5">
        <v>540</v>
      </c>
      <c r="Q28" s="5"/>
      <c r="R28" s="5">
        <v>2002</v>
      </c>
      <c r="S28" s="7">
        <v>9.6820000000000004</v>
      </c>
      <c r="T28" s="7">
        <v>118.486</v>
      </c>
      <c r="U28" s="5" t="s">
        <v>176</v>
      </c>
      <c r="V28" s="5" t="s">
        <v>177</v>
      </c>
      <c r="W28" s="5" t="s">
        <v>178</v>
      </c>
      <c r="X28" s="5" t="s">
        <v>179</v>
      </c>
      <c r="Y28" s="8">
        <v>1.7</v>
      </c>
      <c r="Z28" s="9">
        <v>5</v>
      </c>
      <c r="AA28" s="5" t="s">
        <v>84</v>
      </c>
      <c r="AB28" s="5" t="s">
        <v>209</v>
      </c>
      <c r="AC28" s="5" t="s">
        <v>210</v>
      </c>
      <c r="AD28" s="5" t="s">
        <v>209</v>
      </c>
      <c r="AE28" s="5" t="s">
        <v>211</v>
      </c>
      <c r="AF28" s="5" t="s">
        <v>184</v>
      </c>
      <c r="AG28" s="5" t="s">
        <v>176</v>
      </c>
      <c r="AH28" s="5" t="s">
        <v>185</v>
      </c>
      <c r="AI28" s="5" t="s">
        <v>214</v>
      </c>
      <c r="AJ28" s="5" t="s">
        <v>215</v>
      </c>
      <c r="AK28" s="5" t="s">
        <v>156</v>
      </c>
      <c r="AL28" s="5" t="s">
        <v>187</v>
      </c>
      <c r="AM28" s="5" t="s">
        <v>158</v>
      </c>
      <c r="AN28" s="5" t="s">
        <v>487</v>
      </c>
      <c r="AO28" s="5" t="s">
        <v>488</v>
      </c>
      <c r="AP28" s="5" t="s">
        <v>489</v>
      </c>
      <c r="AQ28" s="5" t="s">
        <v>389</v>
      </c>
      <c r="AR28" s="5" t="s">
        <v>192</v>
      </c>
      <c r="AS28" s="5" t="s">
        <v>490</v>
      </c>
      <c r="AT28" s="5" t="s">
        <v>164</v>
      </c>
      <c r="AU28" s="5">
        <v>10</v>
      </c>
      <c r="AV28" s="5">
        <v>0</v>
      </c>
      <c r="AW28" s="5">
        <v>0</v>
      </c>
      <c r="AX28" s="5">
        <v>2</v>
      </c>
      <c r="AY28" s="5" t="s">
        <v>491</v>
      </c>
      <c r="AZ28" s="5" t="s">
        <v>492</v>
      </c>
    </row>
    <row r="29" spans="1:52" ht="60" x14ac:dyDescent="0.25">
      <c r="A29" s="5" t="s">
        <v>493</v>
      </c>
      <c r="B29" s="6">
        <v>46046.097916666673</v>
      </c>
      <c r="C29" s="5" t="s">
        <v>138</v>
      </c>
      <c r="D29" s="5" t="s">
        <v>272</v>
      </c>
      <c r="E29" s="5" t="s">
        <v>248</v>
      </c>
      <c r="F29" s="5" t="s">
        <v>317</v>
      </c>
      <c r="G29" s="5"/>
      <c r="H29" s="5" t="s">
        <v>318</v>
      </c>
      <c r="I29" s="5" t="s">
        <v>319</v>
      </c>
      <c r="J29" s="5" t="s">
        <v>320</v>
      </c>
      <c r="K29" s="5" t="s">
        <v>321</v>
      </c>
      <c r="L29" s="5">
        <v>18600</v>
      </c>
      <c r="M29" s="5">
        <v>172.3</v>
      </c>
      <c r="N29" s="5">
        <v>27.9</v>
      </c>
      <c r="O29" s="5" t="s">
        <v>78</v>
      </c>
      <c r="P29" s="5">
        <v>10240</v>
      </c>
      <c r="Q29" s="5" t="s">
        <v>322</v>
      </c>
      <c r="R29" s="5">
        <v>2010</v>
      </c>
      <c r="S29" s="7">
        <v>6.8460000000000001</v>
      </c>
      <c r="T29" s="7">
        <v>125.721</v>
      </c>
      <c r="U29" s="5" t="s">
        <v>230</v>
      </c>
      <c r="V29" s="5" t="s">
        <v>231</v>
      </c>
      <c r="W29" s="5" t="s">
        <v>232</v>
      </c>
      <c r="X29" s="5" t="s">
        <v>233</v>
      </c>
      <c r="Y29" s="8">
        <v>1.2</v>
      </c>
      <c r="Z29" s="9">
        <v>3</v>
      </c>
      <c r="AA29" s="5" t="s">
        <v>117</v>
      </c>
      <c r="AB29" s="5" t="s">
        <v>324</v>
      </c>
      <c r="AC29" s="5" t="s">
        <v>325</v>
      </c>
      <c r="AD29" s="5" t="s">
        <v>326</v>
      </c>
      <c r="AE29" s="5" t="s">
        <v>327</v>
      </c>
      <c r="AF29" s="5" t="s">
        <v>237</v>
      </c>
      <c r="AG29" s="5" t="s">
        <v>230</v>
      </c>
      <c r="AH29" s="5" t="s">
        <v>238</v>
      </c>
      <c r="AI29" s="5" t="s">
        <v>329</v>
      </c>
      <c r="AJ29" s="5" t="s">
        <v>330</v>
      </c>
      <c r="AK29" s="5" t="s">
        <v>93</v>
      </c>
      <c r="AL29" s="5" t="s">
        <v>94</v>
      </c>
      <c r="AM29" s="5" t="s">
        <v>158</v>
      </c>
      <c r="AN29" s="5" t="s">
        <v>494</v>
      </c>
      <c r="AO29" s="5" t="s">
        <v>495</v>
      </c>
      <c r="AP29" s="5" t="s">
        <v>496</v>
      </c>
      <c r="AQ29" s="5" t="s">
        <v>162</v>
      </c>
      <c r="AR29" s="5" t="s">
        <v>100</v>
      </c>
      <c r="AS29" s="5" t="s">
        <v>497</v>
      </c>
      <c r="AT29" s="5" t="s">
        <v>164</v>
      </c>
      <c r="AU29" s="5">
        <v>20</v>
      </c>
      <c r="AV29" s="5">
        <v>0</v>
      </c>
      <c r="AW29" s="5">
        <v>0</v>
      </c>
      <c r="AX29" s="5">
        <v>0</v>
      </c>
      <c r="AY29" s="5" t="s">
        <v>498</v>
      </c>
      <c r="AZ29" s="5" t="s">
        <v>499</v>
      </c>
    </row>
    <row r="30" spans="1:52" ht="60" x14ac:dyDescent="0.25">
      <c r="A30" s="5" t="s">
        <v>500</v>
      </c>
      <c r="B30" s="6">
        <v>46064.824999999997</v>
      </c>
      <c r="C30" s="5" t="s">
        <v>271</v>
      </c>
      <c r="D30" s="5" t="s">
        <v>70</v>
      </c>
      <c r="E30" s="5" t="s">
        <v>71</v>
      </c>
      <c r="F30" s="5" t="s">
        <v>249</v>
      </c>
      <c r="G30" s="5"/>
      <c r="H30" s="5" t="s">
        <v>140</v>
      </c>
      <c r="I30" s="5" t="s">
        <v>75</v>
      </c>
      <c r="J30" s="5"/>
      <c r="K30" s="5" t="s">
        <v>250</v>
      </c>
      <c r="L30" s="5">
        <v>5120</v>
      </c>
      <c r="M30" s="5">
        <v>92.2</v>
      </c>
      <c r="N30" s="5">
        <v>16.7</v>
      </c>
      <c r="O30" s="5" t="s">
        <v>251</v>
      </c>
      <c r="P30" s="5">
        <v>4680</v>
      </c>
      <c r="Q30" s="5" t="s">
        <v>79</v>
      </c>
      <c r="R30" s="5">
        <v>2013</v>
      </c>
      <c r="S30" s="7">
        <v>12.79</v>
      </c>
      <c r="T30" s="7">
        <v>124.377</v>
      </c>
      <c r="U30" s="5" t="s">
        <v>252</v>
      </c>
      <c r="V30" s="5" t="s">
        <v>253</v>
      </c>
      <c r="W30" s="5" t="s">
        <v>254</v>
      </c>
      <c r="X30" s="5" t="s">
        <v>255</v>
      </c>
      <c r="Y30" s="8">
        <v>2.4</v>
      </c>
      <c r="Z30" s="9">
        <v>6</v>
      </c>
      <c r="AA30" s="5" t="s">
        <v>84</v>
      </c>
      <c r="AB30" s="5" t="s">
        <v>256</v>
      </c>
      <c r="AC30" s="5" t="s">
        <v>257</v>
      </c>
      <c r="AD30" s="5" t="s">
        <v>258</v>
      </c>
      <c r="AE30" s="5" t="s">
        <v>259</v>
      </c>
      <c r="AF30" s="5" t="s">
        <v>252</v>
      </c>
      <c r="AG30" s="5" t="s">
        <v>260</v>
      </c>
      <c r="AH30" s="5" t="s">
        <v>261</v>
      </c>
      <c r="AI30" s="5" t="s">
        <v>154</v>
      </c>
      <c r="AJ30" s="5" t="s">
        <v>262</v>
      </c>
      <c r="AK30" s="5" t="s">
        <v>156</v>
      </c>
      <c r="AL30" s="5" t="s">
        <v>157</v>
      </c>
      <c r="AM30" s="5" t="s">
        <v>127</v>
      </c>
      <c r="AN30" s="5" t="s">
        <v>501</v>
      </c>
      <c r="AO30" s="5" t="s">
        <v>502</v>
      </c>
      <c r="AP30" s="5" t="s">
        <v>503</v>
      </c>
      <c r="AQ30" s="5" t="s">
        <v>131</v>
      </c>
      <c r="AR30" s="5" t="s">
        <v>132</v>
      </c>
      <c r="AS30" s="5" t="s">
        <v>504</v>
      </c>
      <c r="AT30" s="5" t="s">
        <v>134</v>
      </c>
      <c r="AU30" s="5">
        <v>18</v>
      </c>
      <c r="AV30" s="5">
        <v>132</v>
      </c>
      <c r="AW30" s="5">
        <v>0</v>
      </c>
      <c r="AX30" s="5">
        <v>3</v>
      </c>
      <c r="AY30" s="5" t="s">
        <v>505</v>
      </c>
      <c r="AZ30" s="5" t="s">
        <v>506</v>
      </c>
    </row>
    <row r="31" spans="1:52" ht="60" x14ac:dyDescent="0.25">
      <c r="A31" s="5" t="s">
        <v>507</v>
      </c>
      <c r="B31" s="6">
        <v>46080.247916666667</v>
      </c>
      <c r="C31" s="5" t="s">
        <v>106</v>
      </c>
      <c r="D31" s="5" t="s">
        <v>169</v>
      </c>
      <c r="E31" s="5" t="s">
        <v>199</v>
      </c>
      <c r="F31" s="5" t="s">
        <v>378</v>
      </c>
      <c r="G31" s="5"/>
      <c r="H31" s="5" t="s">
        <v>108</v>
      </c>
      <c r="I31" s="5" t="s">
        <v>109</v>
      </c>
      <c r="J31" s="5" t="s">
        <v>379</v>
      </c>
      <c r="K31" s="5" t="s">
        <v>380</v>
      </c>
      <c r="L31" s="5">
        <v>23110</v>
      </c>
      <c r="M31" s="5">
        <v>174.2</v>
      </c>
      <c r="N31" s="5">
        <v>28.6</v>
      </c>
      <c r="O31" s="5" t="s">
        <v>112</v>
      </c>
      <c r="P31" s="5">
        <v>9340</v>
      </c>
      <c r="Q31" s="5" t="s">
        <v>113</v>
      </c>
      <c r="R31" s="5">
        <v>2012</v>
      </c>
      <c r="S31" s="7">
        <v>8.5519999999999996</v>
      </c>
      <c r="T31" s="7">
        <v>124.768</v>
      </c>
      <c r="U31" s="5" t="s">
        <v>279</v>
      </c>
      <c r="V31" s="5" t="s">
        <v>280</v>
      </c>
      <c r="W31" s="5" t="s">
        <v>281</v>
      </c>
      <c r="X31" s="5" t="s">
        <v>282</v>
      </c>
      <c r="Y31" s="8">
        <v>0.9</v>
      </c>
      <c r="Z31" s="9">
        <v>2</v>
      </c>
      <c r="AA31" s="5" t="s">
        <v>117</v>
      </c>
      <c r="AB31" s="5" t="s">
        <v>381</v>
      </c>
      <c r="AC31" s="5" t="s">
        <v>382</v>
      </c>
      <c r="AD31" s="5" t="s">
        <v>383</v>
      </c>
      <c r="AE31" s="5" t="s">
        <v>384</v>
      </c>
      <c r="AF31" s="5" t="s">
        <v>287</v>
      </c>
      <c r="AG31" s="5" t="s">
        <v>279</v>
      </c>
      <c r="AH31" s="5" t="s">
        <v>288</v>
      </c>
      <c r="AI31" s="5" t="s">
        <v>124</v>
      </c>
      <c r="AJ31" s="5" t="s">
        <v>385</v>
      </c>
      <c r="AK31" s="5" t="s">
        <v>93</v>
      </c>
      <c r="AL31" s="5" t="s">
        <v>126</v>
      </c>
      <c r="AM31" s="5" t="s">
        <v>95</v>
      </c>
      <c r="AN31" s="5" t="s">
        <v>508</v>
      </c>
      <c r="AO31" s="5" t="s">
        <v>509</v>
      </c>
      <c r="AP31" s="5" t="s">
        <v>510</v>
      </c>
      <c r="AQ31" s="5" t="s">
        <v>131</v>
      </c>
      <c r="AR31" s="5" t="s">
        <v>132</v>
      </c>
      <c r="AS31" s="5" t="s">
        <v>511</v>
      </c>
      <c r="AT31" s="5" t="s">
        <v>134</v>
      </c>
      <c r="AU31" s="5">
        <v>26</v>
      </c>
      <c r="AV31" s="5">
        <v>0</v>
      </c>
      <c r="AW31" s="5">
        <v>1</v>
      </c>
      <c r="AX31" s="5">
        <v>5</v>
      </c>
      <c r="AY31" s="5" t="s">
        <v>512</v>
      </c>
      <c r="AZ31" s="5" t="s">
        <v>513</v>
      </c>
    </row>
    <row r="32" spans="1:52" ht="60" x14ac:dyDescent="0.25">
      <c r="A32" s="5" t="s">
        <v>514</v>
      </c>
      <c r="B32" s="6">
        <v>46091.277777777781</v>
      </c>
      <c r="C32" s="5" t="s">
        <v>69</v>
      </c>
      <c r="D32" s="5" t="s">
        <v>169</v>
      </c>
      <c r="E32" s="5" t="s">
        <v>199</v>
      </c>
      <c r="F32" s="5" t="s">
        <v>72</v>
      </c>
      <c r="G32" s="5" t="s">
        <v>73</v>
      </c>
      <c r="H32" s="5" t="s">
        <v>74</v>
      </c>
      <c r="I32" s="5" t="s">
        <v>75</v>
      </c>
      <c r="J32" s="5" t="s">
        <v>76</v>
      </c>
      <c r="K32" s="5" t="s">
        <v>77</v>
      </c>
      <c r="L32" s="5">
        <v>25000</v>
      </c>
      <c r="M32" s="5">
        <v>189.6</v>
      </c>
      <c r="N32" s="5">
        <v>32.200000000000003</v>
      </c>
      <c r="O32" s="5" t="s">
        <v>78</v>
      </c>
      <c r="P32" s="5">
        <v>11200</v>
      </c>
      <c r="Q32" s="5" t="s">
        <v>79</v>
      </c>
      <c r="R32" s="5">
        <v>2006</v>
      </c>
      <c r="S32" s="7">
        <v>14.404999999999999</v>
      </c>
      <c r="T32" s="7">
        <v>120.839</v>
      </c>
      <c r="U32" s="5" t="s">
        <v>80</v>
      </c>
      <c r="V32" s="5" t="s">
        <v>81</v>
      </c>
      <c r="W32" s="5" t="s">
        <v>82</v>
      </c>
      <c r="X32" s="5" t="s">
        <v>323</v>
      </c>
      <c r="Y32" s="8">
        <v>2.1</v>
      </c>
      <c r="Z32" s="9">
        <v>6</v>
      </c>
      <c r="AA32" s="5" t="s">
        <v>208</v>
      </c>
      <c r="AB32" s="5" t="s">
        <v>85</v>
      </c>
      <c r="AC32" s="5" t="s">
        <v>86</v>
      </c>
      <c r="AD32" s="5" t="s">
        <v>87</v>
      </c>
      <c r="AE32" s="5" t="s">
        <v>88</v>
      </c>
      <c r="AF32" s="5" t="s">
        <v>114</v>
      </c>
      <c r="AG32" s="5" t="s">
        <v>80</v>
      </c>
      <c r="AH32" s="5" t="s">
        <v>328</v>
      </c>
      <c r="AI32" s="5" t="s">
        <v>91</v>
      </c>
      <c r="AJ32" s="5" t="s">
        <v>92</v>
      </c>
      <c r="AK32" s="5" t="s">
        <v>93</v>
      </c>
      <c r="AL32" s="5" t="s">
        <v>126</v>
      </c>
      <c r="AM32" s="5" t="s">
        <v>127</v>
      </c>
      <c r="AN32" s="5" t="s">
        <v>515</v>
      </c>
      <c r="AO32" s="5" t="s">
        <v>516</v>
      </c>
      <c r="AP32" s="5" t="s">
        <v>517</v>
      </c>
      <c r="AQ32" s="5" t="s">
        <v>99</v>
      </c>
      <c r="AR32" s="5" t="s">
        <v>100</v>
      </c>
      <c r="AS32" s="5" t="s">
        <v>518</v>
      </c>
      <c r="AT32" s="5" t="s">
        <v>102</v>
      </c>
      <c r="AU32" s="5">
        <v>22</v>
      </c>
      <c r="AV32" s="5">
        <v>0</v>
      </c>
      <c r="AW32" s="5">
        <v>3</v>
      </c>
      <c r="AX32" s="5">
        <v>7</v>
      </c>
      <c r="AY32" s="5" t="s">
        <v>519</v>
      </c>
      <c r="AZ32" s="5" t="s">
        <v>520</v>
      </c>
    </row>
    <row r="33" spans="1:52" ht="60" x14ac:dyDescent="0.25">
      <c r="A33" s="5" t="s">
        <v>521</v>
      </c>
      <c r="B33" s="6">
        <v>46104.630555555559</v>
      </c>
      <c r="C33" s="5" t="s">
        <v>168</v>
      </c>
      <c r="D33" s="5" t="s">
        <v>169</v>
      </c>
      <c r="E33" s="5" t="s">
        <v>71</v>
      </c>
      <c r="F33" s="5" t="s">
        <v>353</v>
      </c>
      <c r="G33" s="5"/>
      <c r="H33" s="5" t="s">
        <v>140</v>
      </c>
      <c r="I33" s="5" t="s">
        <v>75</v>
      </c>
      <c r="J33" s="5"/>
      <c r="K33" s="5" t="s">
        <v>354</v>
      </c>
      <c r="L33" s="5">
        <v>7180</v>
      </c>
      <c r="M33" s="5">
        <v>116.1</v>
      </c>
      <c r="N33" s="5">
        <v>18.2</v>
      </c>
      <c r="O33" s="5" t="s">
        <v>143</v>
      </c>
      <c r="P33" s="5">
        <v>6180</v>
      </c>
      <c r="Q33" s="5" t="s">
        <v>341</v>
      </c>
      <c r="R33" s="5">
        <v>2010</v>
      </c>
      <c r="S33" s="7">
        <v>9.8030000000000008</v>
      </c>
      <c r="T33" s="7">
        <v>124.003</v>
      </c>
      <c r="U33" s="5" t="s">
        <v>366</v>
      </c>
      <c r="V33" s="5" t="s">
        <v>367</v>
      </c>
      <c r="W33" s="5" t="s">
        <v>368</v>
      </c>
      <c r="X33" s="5" t="s">
        <v>369</v>
      </c>
      <c r="Y33" s="8">
        <v>1.8</v>
      </c>
      <c r="Z33" s="9">
        <v>5</v>
      </c>
      <c r="AA33" s="5" t="s">
        <v>84</v>
      </c>
      <c r="AB33" s="5" t="s">
        <v>355</v>
      </c>
      <c r="AC33" s="5" t="s">
        <v>356</v>
      </c>
      <c r="AD33" s="5" t="s">
        <v>355</v>
      </c>
      <c r="AE33" s="5" t="s">
        <v>357</v>
      </c>
      <c r="AF33" s="5" t="s">
        <v>145</v>
      </c>
      <c r="AG33" s="5" t="s">
        <v>366</v>
      </c>
      <c r="AH33" s="5" t="s">
        <v>370</v>
      </c>
      <c r="AI33" s="5" t="s">
        <v>154</v>
      </c>
      <c r="AJ33" s="5" t="s">
        <v>358</v>
      </c>
      <c r="AK33" s="5" t="s">
        <v>156</v>
      </c>
      <c r="AL33" s="5" t="s">
        <v>157</v>
      </c>
      <c r="AM33" s="5" t="s">
        <v>95</v>
      </c>
      <c r="AN33" s="5" t="s">
        <v>522</v>
      </c>
      <c r="AO33" s="5" t="s">
        <v>523</v>
      </c>
      <c r="AP33" s="5" t="s">
        <v>524</v>
      </c>
      <c r="AQ33" s="5" t="s">
        <v>191</v>
      </c>
      <c r="AR33" s="5" t="s">
        <v>192</v>
      </c>
      <c r="AS33" s="5" t="s">
        <v>525</v>
      </c>
      <c r="AT33" s="5" t="s">
        <v>194</v>
      </c>
      <c r="AU33" s="5">
        <v>18</v>
      </c>
      <c r="AV33" s="5">
        <v>145</v>
      </c>
      <c r="AW33" s="5">
        <v>1</v>
      </c>
      <c r="AX33" s="5">
        <v>0</v>
      </c>
      <c r="AY33" s="5" t="s">
        <v>526</v>
      </c>
      <c r="AZ33" s="5" t="s">
        <v>527</v>
      </c>
    </row>
    <row r="34" spans="1:52" ht="60" x14ac:dyDescent="0.25">
      <c r="A34" s="5" t="s">
        <v>528</v>
      </c>
      <c r="B34" s="6">
        <v>46117.313194444447</v>
      </c>
      <c r="C34" s="5" t="s">
        <v>297</v>
      </c>
      <c r="D34" s="5" t="s">
        <v>272</v>
      </c>
      <c r="E34" s="5" t="s">
        <v>248</v>
      </c>
      <c r="F34" s="5" t="s">
        <v>298</v>
      </c>
      <c r="G34" s="5"/>
      <c r="H34" s="5" t="s">
        <v>140</v>
      </c>
      <c r="I34" s="5" t="s">
        <v>75</v>
      </c>
      <c r="J34" s="5"/>
      <c r="K34" s="5" t="s">
        <v>299</v>
      </c>
      <c r="L34" s="5">
        <v>3960</v>
      </c>
      <c r="M34" s="5">
        <v>74.599999999999994</v>
      </c>
      <c r="N34" s="5">
        <v>14.1</v>
      </c>
      <c r="O34" s="5" t="s">
        <v>143</v>
      </c>
      <c r="P34" s="5">
        <v>3210</v>
      </c>
      <c r="Q34" s="5" t="s">
        <v>175</v>
      </c>
      <c r="R34" s="5">
        <v>2014</v>
      </c>
      <c r="S34" s="7">
        <v>10.657999999999999</v>
      </c>
      <c r="T34" s="7">
        <v>122.57</v>
      </c>
      <c r="U34" s="5" t="s">
        <v>300</v>
      </c>
      <c r="V34" s="5" t="s">
        <v>300</v>
      </c>
      <c r="W34" s="5" t="s">
        <v>301</v>
      </c>
      <c r="X34" s="5" t="s">
        <v>302</v>
      </c>
      <c r="Y34" s="8">
        <v>1.2</v>
      </c>
      <c r="Z34" s="9">
        <v>4</v>
      </c>
      <c r="AA34" s="5" t="s">
        <v>117</v>
      </c>
      <c r="AB34" s="5" t="s">
        <v>303</v>
      </c>
      <c r="AC34" s="5" t="s">
        <v>304</v>
      </c>
      <c r="AD34" s="5" t="s">
        <v>303</v>
      </c>
      <c r="AE34" s="5" t="s">
        <v>305</v>
      </c>
      <c r="AF34" s="5" t="s">
        <v>300</v>
      </c>
      <c r="AG34" s="5" t="s">
        <v>306</v>
      </c>
      <c r="AH34" s="5" t="s">
        <v>307</v>
      </c>
      <c r="AI34" s="5" t="s">
        <v>154</v>
      </c>
      <c r="AJ34" s="5" t="s">
        <v>308</v>
      </c>
      <c r="AK34" s="5" t="s">
        <v>156</v>
      </c>
      <c r="AL34" s="5" t="s">
        <v>187</v>
      </c>
      <c r="AM34" s="5" t="s">
        <v>158</v>
      </c>
      <c r="AN34" s="5" t="s">
        <v>529</v>
      </c>
      <c r="AO34" s="5" t="s">
        <v>530</v>
      </c>
      <c r="AP34" s="5" t="s">
        <v>531</v>
      </c>
      <c r="AQ34" s="5" t="s">
        <v>131</v>
      </c>
      <c r="AR34" s="5" t="s">
        <v>132</v>
      </c>
      <c r="AS34" s="5" t="s">
        <v>532</v>
      </c>
      <c r="AT34" s="5" t="s">
        <v>134</v>
      </c>
      <c r="AU34" s="5">
        <v>12</v>
      </c>
      <c r="AV34" s="5">
        <v>82</v>
      </c>
      <c r="AW34" s="5">
        <v>0</v>
      </c>
      <c r="AX34" s="5">
        <v>0</v>
      </c>
      <c r="AY34" s="5" t="s">
        <v>533</v>
      </c>
      <c r="AZ34" s="5" t="s">
        <v>534</v>
      </c>
    </row>
    <row r="35" spans="1:52" ht="60" x14ac:dyDescent="0.25">
      <c r="A35" s="5" t="s">
        <v>535</v>
      </c>
      <c r="B35" s="6">
        <v>46131.998611111107</v>
      </c>
      <c r="C35" s="5" t="s">
        <v>138</v>
      </c>
      <c r="D35" s="5" t="s">
        <v>70</v>
      </c>
      <c r="E35" s="5" t="s">
        <v>71</v>
      </c>
      <c r="F35" s="5" t="s">
        <v>338</v>
      </c>
      <c r="G35" s="5"/>
      <c r="H35" s="5" t="s">
        <v>339</v>
      </c>
      <c r="I35" s="5" t="s">
        <v>75</v>
      </c>
      <c r="J35" s="5"/>
      <c r="K35" s="5" t="s">
        <v>340</v>
      </c>
      <c r="L35" s="5">
        <v>5120</v>
      </c>
      <c r="M35" s="5">
        <v>91.2</v>
      </c>
      <c r="N35" s="5">
        <v>15.4</v>
      </c>
      <c r="O35" s="5" t="s">
        <v>203</v>
      </c>
      <c r="P35" s="5">
        <v>4460</v>
      </c>
      <c r="Q35" s="5" t="s">
        <v>341</v>
      </c>
      <c r="R35" s="5">
        <v>2015</v>
      </c>
      <c r="S35" s="7">
        <v>13.752000000000001</v>
      </c>
      <c r="T35" s="7">
        <v>121.078</v>
      </c>
      <c r="U35" s="5" t="s">
        <v>114</v>
      </c>
      <c r="V35" s="5" t="s">
        <v>114</v>
      </c>
      <c r="W35" s="5" t="s">
        <v>115</v>
      </c>
      <c r="X35" s="5" t="s">
        <v>116</v>
      </c>
      <c r="Y35" s="8">
        <v>1.6</v>
      </c>
      <c r="Z35" s="9">
        <v>4</v>
      </c>
      <c r="AA35" s="5" t="s">
        <v>84</v>
      </c>
      <c r="AB35" s="5" t="s">
        <v>342</v>
      </c>
      <c r="AC35" s="5" t="s">
        <v>343</v>
      </c>
      <c r="AD35" s="5" t="s">
        <v>342</v>
      </c>
      <c r="AE35" s="5" t="s">
        <v>344</v>
      </c>
      <c r="AF35" s="5" t="s">
        <v>114</v>
      </c>
      <c r="AG35" s="5" t="s">
        <v>122</v>
      </c>
      <c r="AH35" s="5" t="s">
        <v>123</v>
      </c>
      <c r="AI35" s="5" t="s">
        <v>339</v>
      </c>
      <c r="AJ35" s="5" t="s">
        <v>345</v>
      </c>
      <c r="AK35" s="5" t="s">
        <v>156</v>
      </c>
      <c r="AL35" s="5" t="s">
        <v>94</v>
      </c>
      <c r="AM35" s="5" t="s">
        <v>127</v>
      </c>
      <c r="AN35" s="5" t="s">
        <v>536</v>
      </c>
      <c r="AO35" s="5" t="s">
        <v>537</v>
      </c>
      <c r="AP35" s="5" t="s">
        <v>538</v>
      </c>
      <c r="AQ35" s="5" t="s">
        <v>539</v>
      </c>
      <c r="AR35" s="5" t="s">
        <v>100</v>
      </c>
      <c r="AS35" s="5" t="s">
        <v>540</v>
      </c>
      <c r="AT35" s="5" t="s">
        <v>164</v>
      </c>
      <c r="AU35" s="5">
        <v>16</v>
      </c>
      <c r="AV35" s="5">
        <v>0</v>
      </c>
      <c r="AW35" s="5">
        <v>0</v>
      </c>
      <c r="AX35" s="5">
        <v>2</v>
      </c>
      <c r="AY35" s="5" t="s">
        <v>541</v>
      </c>
      <c r="AZ35" s="5" t="s">
        <v>542</v>
      </c>
    </row>
    <row r="36" spans="1:52" ht="60" x14ac:dyDescent="0.25">
      <c r="A36" s="5" t="s">
        <v>543</v>
      </c>
      <c r="B36" s="6">
        <v>46144.488888888889</v>
      </c>
      <c r="C36" s="5" t="s">
        <v>227</v>
      </c>
      <c r="D36" s="5" t="s">
        <v>169</v>
      </c>
      <c r="E36" s="5" t="s">
        <v>199</v>
      </c>
      <c r="F36" s="5" t="s">
        <v>228</v>
      </c>
      <c r="G36" s="5"/>
      <c r="H36" s="5" t="s">
        <v>201</v>
      </c>
      <c r="I36" s="5" t="s">
        <v>75</v>
      </c>
      <c r="J36" s="5"/>
      <c r="K36" s="5" t="s">
        <v>229</v>
      </c>
      <c r="L36" s="5">
        <v>82</v>
      </c>
      <c r="M36" s="5">
        <v>24.1</v>
      </c>
      <c r="N36" s="5">
        <v>6.2</v>
      </c>
      <c r="O36" s="5" t="s">
        <v>203</v>
      </c>
      <c r="P36" s="5">
        <v>430</v>
      </c>
      <c r="Q36" s="5"/>
      <c r="R36" s="5">
        <v>2004</v>
      </c>
      <c r="S36" s="7">
        <v>6.85</v>
      </c>
      <c r="T36" s="7">
        <v>125.76</v>
      </c>
      <c r="U36" s="5" t="s">
        <v>230</v>
      </c>
      <c r="V36" s="5" t="s">
        <v>231</v>
      </c>
      <c r="W36" s="5" t="s">
        <v>232</v>
      </c>
      <c r="X36" s="5" t="s">
        <v>233</v>
      </c>
      <c r="Y36" s="8">
        <v>3.4</v>
      </c>
      <c r="Z36" s="9">
        <v>8</v>
      </c>
      <c r="AA36" s="5" t="s">
        <v>208</v>
      </c>
      <c r="AB36" s="5" t="s">
        <v>234</v>
      </c>
      <c r="AC36" s="5" t="s">
        <v>235</v>
      </c>
      <c r="AD36" s="5" t="s">
        <v>234</v>
      </c>
      <c r="AE36" s="5" t="s">
        <v>236</v>
      </c>
      <c r="AF36" s="5" t="s">
        <v>237</v>
      </c>
      <c r="AG36" s="5" t="s">
        <v>230</v>
      </c>
      <c r="AH36" s="5" t="s">
        <v>238</v>
      </c>
      <c r="AI36" s="5" t="s">
        <v>214</v>
      </c>
      <c r="AJ36" s="5" t="s">
        <v>239</v>
      </c>
      <c r="AK36" s="5" t="s">
        <v>156</v>
      </c>
      <c r="AL36" s="5" t="s">
        <v>216</v>
      </c>
      <c r="AM36" s="5" t="s">
        <v>95</v>
      </c>
      <c r="AN36" s="5" t="s">
        <v>544</v>
      </c>
      <c r="AO36" s="5" t="s">
        <v>545</v>
      </c>
      <c r="AP36" s="5" t="s">
        <v>546</v>
      </c>
      <c r="AQ36" s="5" t="s">
        <v>162</v>
      </c>
      <c r="AR36" s="5" t="s">
        <v>221</v>
      </c>
      <c r="AS36" s="5" t="s">
        <v>547</v>
      </c>
      <c r="AT36" s="5" t="s">
        <v>223</v>
      </c>
      <c r="AU36" s="5">
        <v>8</v>
      </c>
      <c r="AV36" s="5">
        <v>0</v>
      </c>
      <c r="AW36" s="5">
        <v>3</v>
      </c>
      <c r="AX36" s="5">
        <v>0</v>
      </c>
      <c r="AY36" s="5" t="s">
        <v>548</v>
      </c>
      <c r="AZ36" s="5" t="s">
        <v>549</v>
      </c>
    </row>
    <row r="37" spans="1:52" ht="60" x14ac:dyDescent="0.25">
      <c r="A37" s="5" t="s">
        <v>550</v>
      </c>
      <c r="B37" s="6">
        <v>46160.15</v>
      </c>
      <c r="C37" s="5" t="s">
        <v>69</v>
      </c>
      <c r="D37" s="5" t="s">
        <v>70</v>
      </c>
      <c r="E37" s="5" t="s">
        <v>71</v>
      </c>
      <c r="F37" s="5" t="s">
        <v>170</v>
      </c>
      <c r="G37" s="5"/>
      <c r="H37" s="5" t="s">
        <v>171</v>
      </c>
      <c r="I37" s="5" t="s">
        <v>75</v>
      </c>
      <c r="J37" s="5" t="s">
        <v>172</v>
      </c>
      <c r="K37" s="5" t="s">
        <v>173</v>
      </c>
      <c r="L37" s="5">
        <v>6720</v>
      </c>
      <c r="M37" s="5">
        <v>109.3</v>
      </c>
      <c r="N37" s="5">
        <v>17.600000000000001</v>
      </c>
      <c r="O37" s="5" t="s">
        <v>174</v>
      </c>
      <c r="P37" s="5">
        <v>5810</v>
      </c>
      <c r="Q37" s="5" t="s">
        <v>175</v>
      </c>
      <c r="R37" s="5">
        <v>2009</v>
      </c>
      <c r="S37" s="7">
        <v>10.199</v>
      </c>
      <c r="T37" s="7">
        <v>123.929</v>
      </c>
      <c r="U37" s="5" t="s">
        <v>145</v>
      </c>
      <c r="V37" s="5" t="s">
        <v>145</v>
      </c>
      <c r="W37" s="5" t="s">
        <v>146</v>
      </c>
      <c r="X37" s="5" t="s">
        <v>147</v>
      </c>
      <c r="Y37" s="8">
        <v>1.5</v>
      </c>
      <c r="Z37" s="9">
        <v>4</v>
      </c>
      <c r="AA37" s="5" t="s">
        <v>84</v>
      </c>
      <c r="AB37" s="5" t="s">
        <v>180</v>
      </c>
      <c r="AC37" s="5" t="s">
        <v>181</v>
      </c>
      <c r="AD37" s="5" t="s">
        <v>182</v>
      </c>
      <c r="AE37" s="5" t="s">
        <v>183</v>
      </c>
      <c r="AF37" s="5" t="s">
        <v>145</v>
      </c>
      <c r="AG37" s="5" t="s">
        <v>152</v>
      </c>
      <c r="AH37" s="5" t="s">
        <v>153</v>
      </c>
      <c r="AI37" s="5" t="s">
        <v>154</v>
      </c>
      <c r="AJ37" s="5" t="s">
        <v>186</v>
      </c>
      <c r="AK37" s="5" t="s">
        <v>156</v>
      </c>
      <c r="AL37" s="5" t="s">
        <v>126</v>
      </c>
      <c r="AM37" s="5" t="s">
        <v>95</v>
      </c>
      <c r="AN37" s="5" t="s">
        <v>551</v>
      </c>
      <c r="AO37" s="5" t="s">
        <v>552</v>
      </c>
      <c r="AP37" s="5" t="s">
        <v>553</v>
      </c>
      <c r="AQ37" s="5" t="s">
        <v>266</v>
      </c>
      <c r="AR37" s="5" t="s">
        <v>100</v>
      </c>
      <c r="AS37" s="5" t="s">
        <v>554</v>
      </c>
      <c r="AT37" s="5" t="s">
        <v>102</v>
      </c>
      <c r="AU37" s="5">
        <v>16</v>
      </c>
      <c r="AV37" s="5">
        <v>126</v>
      </c>
      <c r="AW37" s="5">
        <v>0</v>
      </c>
      <c r="AX37" s="5">
        <v>4</v>
      </c>
      <c r="AY37" s="5" t="s">
        <v>555</v>
      </c>
      <c r="AZ37" s="5" t="s">
        <v>556</v>
      </c>
    </row>
    <row r="38" spans="1:52" ht="60" x14ac:dyDescent="0.25">
      <c r="A38" s="5" t="s">
        <v>557</v>
      </c>
      <c r="B38" s="6">
        <v>46174.839583333327</v>
      </c>
      <c r="C38" s="5" t="s">
        <v>271</v>
      </c>
      <c r="D38" s="5" t="s">
        <v>272</v>
      </c>
      <c r="E38" s="5" t="s">
        <v>248</v>
      </c>
      <c r="F38" s="5" t="s">
        <v>317</v>
      </c>
      <c r="G38" s="5"/>
      <c r="H38" s="5" t="s">
        <v>318</v>
      </c>
      <c r="I38" s="5" t="s">
        <v>319</v>
      </c>
      <c r="J38" s="5" t="s">
        <v>320</v>
      </c>
      <c r="K38" s="5" t="s">
        <v>321</v>
      </c>
      <c r="L38" s="5">
        <v>18600</v>
      </c>
      <c r="M38" s="5">
        <v>172.3</v>
      </c>
      <c r="N38" s="5">
        <v>27.9</v>
      </c>
      <c r="O38" s="5" t="s">
        <v>78</v>
      </c>
      <c r="P38" s="5">
        <v>10240</v>
      </c>
      <c r="Q38" s="5" t="s">
        <v>322</v>
      </c>
      <c r="R38" s="5">
        <v>2010</v>
      </c>
      <c r="S38" s="7">
        <v>14.666</v>
      </c>
      <c r="T38" s="7">
        <v>120.80200000000001</v>
      </c>
      <c r="U38" s="5" t="s">
        <v>80</v>
      </c>
      <c r="V38" s="5" t="s">
        <v>81</v>
      </c>
      <c r="W38" s="5" t="s">
        <v>82</v>
      </c>
      <c r="X38" s="5" t="s">
        <v>83</v>
      </c>
      <c r="Y38" s="8">
        <v>1.2</v>
      </c>
      <c r="Z38" s="9">
        <v>3</v>
      </c>
      <c r="AA38" s="5" t="s">
        <v>117</v>
      </c>
      <c r="AB38" s="5" t="s">
        <v>324</v>
      </c>
      <c r="AC38" s="5" t="s">
        <v>325</v>
      </c>
      <c r="AD38" s="5" t="s">
        <v>326</v>
      </c>
      <c r="AE38" s="5" t="s">
        <v>327</v>
      </c>
      <c r="AF38" s="5" t="s">
        <v>89</v>
      </c>
      <c r="AG38" s="5" t="s">
        <v>80</v>
      </c>
      <c r="AH38" s="5" t="s">
        <v>90</v>
      </c>
      <c r="AI38" s="5" t="s">
        <v>329</v>
      </c>
      <c r="AJ38" s="5" t="s">
        <v>330</v>
      </c>
      <c r="AK38" s="5" t="s">
        <v>93</v>
      </c>
      <c r="AL38" s="5" t="s">
        <v>94</v>
      </c>
      <c r="AM38" s="5" t="s">
        <v>158</v>
      </c>
      <c r="AN38" s="5" t="s">
        <v>558</v>
      </c>
      <c r="AO38" s="5" t="s">
        <v>559</v>
      </c>
      <c r="AP38" s="5" t="s">
        <v>560</v>
      </c>
      <c r="AQ38" s="5" t="s">
        <v>131</v>
      </c>
      <c r="AR38" s="5" t="s">
        <v>132</v>
      </c>
      <c r="AS38" s="5" t="s">
        <v>561</v>
      </c>
      <c r="AT38" s="5" t="s">
        <v>134</v>
      </c>
      <c r="AU38" s="5">
        <v>20</v>
      </c>
      <c r="AV38" s="5">
        <v>0</v>
      </c>
      <c r="AW38" s="5">
        <v>0</v>
      </c>
      <c r="AX38" s="5">
        <v>0</v>
      </c>
      <c r="AY38" s="5" t="s">
        <v>562</v>
      </c>
      <c r="AZ38" s="5" t="s">
        <v>563</v>
      </c>
    </row>
  </sheetData>
  <mergeCells count="2">
    <mergeCell ref="A1:L1"/>
    <mergeCell ref="A2:L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showGridLines="0" workbookViewId="0"/>
  </sheetViews>
  <sheetFormatPr defaultRowHeight="15" x14ac:dyDescent="0.25"/>
  <cols>
    <col min="1" max="1" width="18" customWidth="1"/>
    <col min="2" max="2" width="12" customWidth="1"/>
    <col min="4" max="5" width="18" customWidth="1"/>
    <col min="7" max="7" width="18" customWidth="1"/>
    <col min="8" max="8" width="28" customWidth="1"/>
    <col min="10" max="11" width="18" customWidth="1"/>
    <col min="13" max="14" width="18" customWidth="1"/>
    <col min="16" max="16" width="16" customWidth="1"/>
    <col min="17" max="17" width="10" customWidth="1"/>
    <col min="18" max="18" width="12" customWidth="1"/>
    <col min="20" max="20" width="20" customWidth="1"/>
    <col min="21" max="21" width="14" customWidth="1"/>
  </cols>
  <sheetData>
    <row r="1" spans="1:21" ht="26.1" customHeight="1" x14ac:dyDescent="0.25">
      <c r="A1" s="12" t="s">
        <v>564</v>
      </c>
      <c r="B1" s="13"/>
      <c r="C1" s="13"/>
      <c r="D1" s="13"/>
      <c r="E1" s="13"/>
      <c r="F1" s="13"/>
      <c r="G1" s="13"/>
      <c r="H1" s="13"/>
    </row>
    <row r="2" spans="1:21" ht="20.100000000000001" customHeight="1" x14ac:dyDescent="0.25">
      <c r="A2" s="14" t="s">
        <v>565</v>
      </c>
      <c r="B2" s="13"/>
      <c r="C2" s="13"/>
      <c r="D2" s="13"/>
      <c r="E2" s="13"/>
      <c r="F2" s="13"/>
      <c r="G2" s="13"/>
      <c r="H2" s="13"/>
    </row>
    <row r="4" spans="1:21" x14ac:dyDescent="0.25">
      <c r="A4" s="15" t="s">
        <v>566</v>
      </c>
      <c r="B4" s="13"/>
      <c r="D4" s="15" t="s">
        <v>567</v>
      </c>
      <c r="E4" s="13"/>
      <c r="G4" s="15" t="s">
        <v>568</v>
      </c>
      <c r="H4" s="13"/>
      <c r="J4" s="15" t="s">
        <v>569</v>
      </c>
      <c r="K4" s="13"/>
      <c r="M4" s="15" t="s">
        <v>570</v>
      </c>
      <c r="N4" s="13"/>
      <c r="P4" s="15" t="s">
        <v>571</v>
      </c>
      <c r="Q4" s="13"/>
      <c r="R4" s="13"/>
      <c r="T4" s="1" t="s">
        <v>572</v>
      </c>
      <c r="U4" s="1" t="s">
        <v>573</v>
      </c>
    </row>
    <row r="5" spans="1:21" x14ac:dyDescent="0.25">
      <c r="A5" s="4" t="s">
        <v>37</v>
      </c>
      <c r="B5" s="4" t="s">
        <v>574</v>
      </c>
      <c r="D5" s="4" t="s">
        <v>18</v>
      </c>
      <c r="E5" s="4" t="s">
        <v>575</v>
      </c>
      <c r="G5" s="4" t="s">
        <v>576</v>
      </c>
      <c r="H5" s="4" t="s">
        <v>577</v>
      </c>
      <c r="J5" s="4" t="s">
        <v>23</v>
      </c>
      <c r="K5" s="4" t="s">
        <v>578</v>
      </c>
      <c r="M5" s="4" t="s">
        <v>23</v>
      </c>
      <c r="N5" s="4" t="s">
        <v>579</v>
      </c>
      <c r="P5" s="4" t="s">
        <v>20</v>
      </c>
      <c r="Q5" s="4" t="s">
        <v>580</v>
      </c>
      <c r="R5" s="4" t="s">
        <v>581</v>
      </c>
      <c r="T5" t="s">
        <v>582</v>
      </c>
      <c r="U5" t="s">
        <v>117</v>
      </c>
    </row>
    <row r="6" spans="1:21" ht="30" x14ac:dyDescent="0.25">
      <c r="A6" s="5" t="s">
        <v>81</v>
      </c>
      <c r="B6" s="5" t="s">
        <v>583</v>
      </c>
      <c r="D6" s="5" t="s">
        <v>69</v>
      </c>
      <c r="E6" s="5" t="s">
        <v>100</v>
      </c>
      <c r="G6" s="5" t="s">
        <v>100</v>
      </c>
      <c r="H6" s="5" t="s">
        <v>99</v>
      </c>
      <c r="J6" s="5" t="s">
        <v>140</v>
      </c>
      <c r="K6" s="5" t="s">
        <v>154</v>
      </c>
      <c r="M6" s="5" t="s">
        <v>140</v>
      </c>
      <c r="N6" s="5">
        <v>2009</v>
      </c>
      <c r="P6" s="5" t="s">
        <v>199</v>
      </c>
      <c r="Q6" s="5">
        <v>4</v>
      </c>
      <c r="R6" s="5" t="s">
        <v>584</v>
      </c>
      <c r="T6" t="s">
        <v>585</v>
      </c>
      <c r="U6" t="s">
        <v>84</v>
      </c>
    </row>
    <row r="7" spans="1:21" x14ac:dyDescent="0.25">
      <c r="A7" s="5" t="s">
        <v>114</v>
      </c>
      <c r="B7" s="5" t="s">
        <v>583</v>
      </c>
      <c r="D7" s="5" t="s">
        <v>138</v>
      </c>
      <c r="E7" s="5" t="s">
        <v>100</v>
      </c>
      <c r="G7" s="5" t="s">
        <v>132</v>
      </c>
      <c r="H7" s="5" t="s">
        <v>131</v>
      </c>
      <c r="J7" s="5" t="s">
        <v>201</v>
      </c>
      <c r="K7" s="5" t="s">
        <v>214</v>
      </c>
      <c r="M7" s="5" t="s">
        <v>201</v>
      </c>
      <c r="N7" s="5">
        <v>2001</v>
      </c>
      <c r="P7" s="5" t="s">
        <v>71</v>
      </c>
      <c r="Q7" s="5">
        <v>3</v>
      </c>
      <c r="R7" s="5" t="s">
        <v>586</v>
      </c>
      <c r="T7" t="s">
        <v>587</v>
      </c>
      <c r="U7" t="s">
        <v>208</v>
      </c>
    </row>
    <row r="8" spans="1:21" ht="30" x14ac:dyDescent="0.25">
      <c r="A8" s="5" t="s">
        <v>145</v>
      </c>
      <c r="B8" s="5" t="s">
        <v>588</v>
      </c>
      <c r="D8" s="5" t="s">
        <v>198</v>
      </c>
      <c r="E8" s="5" t="s">
        <v>221</v>
      </c>
      <c r="G8" s="5" t="s">
        <v>221</v>
      </c>
      <c r="H8" s="5" t="s">
        <v>99</v>
      </c>
      <c r="J8" s="5" t="s">
        <v>318</v>
      </c>
      <c r="K8" s="5" t="s">
        <v>329</v>
      </c>
      <c r="M8" s="5" t="s">
        <v>318</v>
      </c>
      <c r="N8" s="5">
        <v>2010</v>
      </c>
      <c r="P8" s="5" t="s">
        <v>248</v>
      </c>
      <c r="Q8" s="5">
        <v>2</v>
      </c>
      <c r="R8" s="5" t="s">
        <v>589</v>
      </c>
      <c r="T8" t="s">
        <v>590</v>
      </c>
      <c r="U8" t="s">
        <v>591</v>
      </c>
    </row>
    <row r="9" spans="1:21" ht="30" x14ac:dyDescent="0.25">
      <c r="A9" s="5" t="s">
        <v>367</v>
      </c>
      <c r="B9" s="5" t="s">
        <v>588</v>
      </c>
      <c r="D9" s="5" t="s">
        <v>106</v>
      </c>
      <c r="E9" s="5" t="s">
        <v>132</v>
      </c>
      <c r="G9" s="5" t="s">
        <v>192</v>
      </c>
      <c r="H9" s="5" t="s">
        <v>592</v>
      </c>
      <c r="J9" s="5" t="s">
        <v>108</v>
      </c>
      <c r="K9" s="5" t="s">
        <v>124</v>
      </c>
      <c r="M9" s="5" t="s">
        <v>108</v>
      </c>
      <c r="N9" s="5">
        <v>2007</v>
      </c>
      <c r="P9" s="5" t="s">
        <v>316</v>
      </c>
      <c r="Q9" s="5">
        <v>1</v>
      </c>
      <c r="R9" s="5" t="s">
        <v>593</v>
      </c>
    </row>
    <row r="10" spans="1:21" ht="30" x14ac:dyDescent="0.25">
      <c r="A10" s="5" t="s">
        <v>594</v>
      </c>
      <c r="B10" s="5" t="s">
        <v>583</v>
      </c>
      <c r="D10" s="5" t="s">
        <v>227</v>
      </c>
      <c r="E10" s="5" t="s">
        <v>221</v>
      </c>
      <c r="G10" s="5" t="s">
        <v>595</v>
      </c>
      <c r="H10" s="5"/>
      <c r="J10" s="5" t="s">
        <v>74</v>
      </c>
      <c r="K10" s="5" t="s">
        <v>596</v>
      </c>
      <c r="M10" s="5" t="s">
        <v>74</v>
      </c>
      <c r="N10" s="5">
        <v>2005</v>
      </c>
    </row>
    <row r="11" spans="1:21" x14ac:dyDescent="0.25">
      <c r="A11" s="5" t="s">
        <v>231</v>
      </c>
      <c r="B11" s="5" t="s">
        <v>597</v>
      </c>
      <c r="D11" s="5" t="s">
        <v>297</v>
      </c>
      <c r="E11" s="5" t="s">
        <v>132</v>
      </c>
      <c r="J11" s="5" t="s">
        <v>339</v>
      </c>
      <c r="K11" s="5" t="s">
        <v>339</v>
      </c>
      <c r="M11" s="5" t="s">
        <v>339</v>
      </c>
      <c r="N11" s="5">
        <v>2008</v>
      </c>
    </row>
    <row r="12" spans="1:21" ht="30" x14ac:dyDescent="0.25">
      <c r="A12" s="5" t="s">
        <v>598</v>
      </c>
      <c r="B12" s="5" t="s">
        <v>588</v>
      </c>
      <c r="D12" s="5" t="s">
        <v>420</v>
      </c>
      <c r="E12" s="5" t="s">
        <v>221</v>
      </c>
      <c r="J12" s="5" t="s">
        <v>171</v>
      </c>
      <c r="K12" s="5" t="s">
        <v>154</v>
      </c>
      <c r="M12" s="5" t="s">
        <v>171</v>
      </c>
      <c r="N12" s="5">
        <v>2012</v>
      </c>
    </row>
    <row r="13" spans="1:21" x14ac:dyDescent="0.25">
      <c r="A13" s="5" t="s">
        <v>205</v>
      </c>
      <c r="B13" s="5" t="s">
        <v>588</v>
      </c>
      <c r="D13" s="5" t="s">
        <v>271</v>
      </c>
      <c r="E13" s="5" t="s">
        <v>132</v>
      </c>
    </row>
    <row r="14" spans="1:21" x14ac:dyDescent="0.25">
      <c r="A14" s="5" t="s">
        <v>177</v>
      </c>
      <c r="B14" s="5" t="s">
        <v>583</v>
      </c>
      <c r="D14" s="5" t="s">
        <v>168</v>
      </c>
      <c r="E14" s="5" t="s">
        <v>192</v>
      </c>
    </row>
    <row r="15" spans="1:21" x14ac:dyDescent="0.25">
      <c r="A15" s="5" t="s">
        <v>599</v>
      </c>
      <c r="B15" s="5" t="s">
        <v>583</v>
      </c>
      <c r="D15" s="5" t="s">
        <v>394</v>
      </c>
      <c r="E15" s="5" t="s">
        <v>132</v>
      </c>
    </row>
    <row r="16" spans="1:21" x14ac:dyDescent="0.25">
      <c r="A16" s="5" t="s">
        <v>600</v>
      </c>
      <c r="B16" s="5" t="s">
        <v>583</v>
      </c>
    </row>
    <row r="17" spans="1:2" x14ac:dyDescent="0.25">
      <c r="A17" s="5" t="s">
        <v>280</v>
      </c>
      <c r="B17" s="5" t="s">
        <v>597</v>
      </c>
    </row>
    <row r="18" spans="1:2" x14ac:dyDescent="0.25">
      <c r="A18" s="5" t="s">
        <v>253</v>
      </c>
      <c r="B18" s="5" t="s">
        <v>583</v>
      </c>
    </row>
    <row r="19" spans="1:2" x14ac:dyDescent="0.25">
      <c r="A19" s="5" t="s">
        <v>300</v>
      </c>
      <c r="B19" s="5" t="s">
        <v>588</v>
      </c>
    </row>
  </sheetData>
  <mergeCells count="8">
    <mergeCell ref="J4:K4"/>
    <mergeCell ref="M4:N4"/>
    <mergeCell ref="P4:R4"/>
    <mergeCell ref="A1:H1"/>
    <mergeCell ref="A2:H2"/>
    <mergeCell ref="A4:B4"/>
    <mergeCell ref="D4:E4"/>
    <mergeCell ref="G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0" customWidth="1"/>
    <col min="3" max="3" width="16" customWidth="1"/>
    <col min="4" max="4" width="14" customWidth="1"/>
    <col min="5" max="5" width="18" customWidth="1"/>
    <col min="6" max="7" width="14" customWidth="1"/>
    <col min="8" max="8" width="16" customWidth="1"/>
    <col min="9" max="9" width="18" customWidth="1"/>
    <col min="10" max="10" width="28" customWidth="1"/>
    <col min="11" max="11" width="14" customWidth="1"/>
    <col min="12" max="14" width="12" customWidth="1"/>
    <col min="15" max="15" width="10" customWidth="1"/>
    <col min="16" max="16" width="20" customWidth="1"/>
    <col min="17" max="17" width="18" customWidth="1"/>
    <col min="18" max="18" width="28" customWidth="1"/>
    <col min="19" max="19" width="18" customWidth="1"/>
    <col min="20" max="20" width="12" customWidth="1"/>
    <col min="21" max="22" width="10" customWidth="1"/>
    <col min="23" max="24" width="12" customWidth="1"/>
    <col min="25" max="25" width="10" customWidth="1"/>
    <col min="26" max="28" width="12" customWidth="1"/>
    <col min="29" max="29" width="28" customWidth="1"/>
    <col min="30" max="30" width="18" customWidth="1"/>
    <col min="31" max="32" width="12" customWidth="1"/>
    <col min="33" max="33" width="34" customWidth="1"/>
    <col min="34" max="34" width="20" customWidth="1"/>
    <col min="35" max="36" width="12" customWidth="1"/>
    <col min="37" max="37" width="16" customWidth="1"/>
  </cols>
  <sheetData>
    <row r="1" spans="1:37" ht="26.1" customHeight="1" x14ac:dyDescent="0.25">
      <c r="A1" s="12" t="s">
        <v>601</v>
      </c>
      <c r="B1" s="13"/>
      <c r="C1" s="13"/>
      <c r="D1" s="13"/>
      <c r="E1" s="13"/>
      <c r="F1" s="13"/>
      <c r="G1" s="13"/>
      <c r="H1" s="13"/>
      <c r="I1" s="13"/>
      <c r="J1" s="13"/>
    </row>
    <row r="2" spans="1:37" ht="20.100000000000001" customHeight="1" x14ac:dyDescent="0.25">
      <c r="A2" s="14" t="s">
        <v>602</v>
      </c>
      <c r="B2" s="13"/>
      <c r="C2" s="13"/>
      <c r="D2" s="13"/>
      <c r="E2" s="13"/>
      <c r="F2" s="13"/>
      <c r="G2" s="13"/>
      <c r="H2" s="13"/>
      <c r="I2" s="13"/>
      <c r="J2" s="13"/>
    </row>
    <row r="4" spans="1:37" ht="45" x14ac:dyDescent="0.25">
      <c r="A4" s="4" t="s">
        <v>16</v>
      </c>
      <c r="B4" s="4" t="s">
        <v>17</v>
      </c>
      <c r="C4" s="4" t="s">
        <v>18</v>
      </c>
      <c r="D4" s="4" t="s">
        <v>20</v>
      </c>
      <c r="E4" s="4" t="s">
        <v>23</v>
      </c>
      <c r="F4" s="4" t="s">
        <v>52</v>
      </c>
      <c r="G4" s="4" t="s">
        <v>54</v>
      </c>
      <c r="H4" s="4" t="s">
        <v>37</v>
      </c>
      <c r="I4" s="4" t="s">
        <v>603</v>
      </c>
      <c r="J4" s="4" t="s">
        <v>604</v>
      </c>
      <c r="K4" s="4" t="s">
        <v>574</v>
      </c>
      <c r="L4" s="4" t="s">
        <v>42</v>
      </c>
      <c r="M4" s="4" t="s">
        <v>605</v>
      </c>
      <c r="N4" s="4" t="s">
        <v>606</v>
      </c>
      <c r="O4" s="4" t="s">
        <v>607</v>
      </c>
      <c r="P4" s="4" t="s">
        <v>608</v>
      </c>
      <c r="Q4" s="4" t="s">
        <v>609</v>
      </c>
      <c r="R4" s="4" t="s">
        <v>610</v>
      </c>
      <c r="S4" s="4" t="s">
        <v>611</v>
      </c>
      <c r="T4" s="4" t="s">
        <v>612</v>
      </c>
      <c r="U4" s="4" t="s">
        <v>64</v>
      </c>
      <c r="V4" s="4" t="s">
        <v>65</v>
      </c>
      <c r="W4" s="4" t="s">
        <v>613</v>
      </c>
      <c r="X4" s="4" t="s">
        <v>614</v>
      </c>
      <c r="Y4" s="4" t="s">
        <v>615</v>
      </c>
      <c r="Z4" s="4" t="s">
        <v>616</v>
      </c>
      <c r="AA4" s="4" t="s">
        <v>617</v>
      </c>
      <c r="AB4" s="4" t="s">
        <v>618</v>
      </c>
      <c r="AC4" s="4" t="s">
        <v>619</v>
      </c>
      <c r="AD4" s="4" t="s">
        <v>620</v>
      </c>
      <c r="AE4" s="4" t="s">
        <v>621</v>
      </c>
      <c r="AF4" s="4" t="s">
        <v>622</v>
      </c>
      <c r="AG4" s="4" t="s">
        <v>55</v>
      </c>
      <c r="AH4" s="4" t="s">
        <v>21</v>
      </c>
      <c r="AI4" s="4" t="s">
        <v>34</v>
      </c>
      <c r="AJ4" s="4" t="s">
        <v>35</v>
      </c>
      <c r="AK4" s="4" t="s">
        <v>53</v>
      </c>
    </row>
    <row r="5" spans="1:37" x14ac:dyDescent="0.25">
      <c r="A5" s="5" t="str">
        <f>Raw_Incidents!A5</f>
        <v>INC-2025-000101</v>
      </c>
      <c r="B5" s="6">
        <f>Raw_Incidents!B5</f>
        <v>45669.184027777781</v>
      </c>
      <c r="C5" s="5" t="str">
        <f>Raw_Incidents!C5</f>
        <v>Collision</v>
      </c>
      <c r="D5" s="5" t="str">
        <f>Raw_Incidents!E5</f>
        <v>Serious</v>
      </c>
      <c r="E5" s="5" t="str">
        <f>Raw_Incidents!H5</f>
        <v>Bulk Carrier</v>
      </c>
      <c r="F5" s="5" t="str">
        <f>Raw_Incidents!AK5</f>
        <v>MARINA</v>
      </c>
      <c r="G5" s="5" t="str">
        <f>Raw_Incidents!AM5</f>
        <v>Published</v>
      </c>
      <c r="H5" s="5" t="str">
        <f>Raw_Incidents!V5</f>
        <v>Metro Manila</v>
      </c>
      <c r="I5" s="5" t="str">
        <f>IF(Raw_Incidents!W5&lt;&gt;"",Raw_Incidents!W5,Raw_Incidents!U5)</f>
        <v>Manila Bay</v>
      </c>
      <c r="J5" s="5" t="str">
        <f>IF(Raw_Incidents!X5&lt;&gt;"",Raw_Incidents!X5,IF(Raw_Incidents!AH5&lt;&gt;"",Raw_Incidents!AH5,IF(AND(Raw_Incidents!AF5&lt;&gt;"",Raw_Incidents!AG5&lt;&gt;""),Raw_Incidents!AF5&amp;" to "&amp;Raw_Incidents!AG5,"Corridor pending")))</f>
        <v>Manila Bay North Approach</v>
      </c>
      <c r="K5" s="5" t="str">
        <f>IFERROR(INDEX(Lookups!$B$6:$B$19,MATCH(Raw_Incidents!V5,Lookups!$A$6:$A$19,0)),"National")</f>
        <v>Luzon</v>
      </c>
      <c r="L5" s="5" t="str">
        <f>Raw_Incidents!AA5</f>
        <v>Moderate</v>
      </c>
      <c r="M5" s="5" t="str">
        <f t="shared" ref="M5:M38" si="0">TEXT(B5,"mmm yy")</f>
        <v>Jan 25</v>
      </c>
      <c r="N5" s="5" t="str">
        <f t="shared" ref="N5:N38" si="1">TEXT(B5,"yyyy-mm")</f>
        <v>2025-01</v>
      </c>
      <c r="O5" s="5">
        <f t="shared" ref="O5:O38" si="2">YEAR(B5)</f>
        <v>2025</v>
      </c>
      <c r="P5" s="5" t="str">
        <f t="shared" ref="P5:P38" si="3">IF(OR(MONTH(B5)=12,MONTH(B5)&lt;=2),"Northeast Monsoon",IF(AND(MONTH(B5)&gt;=3,MONTH(B5)&lt;=5),"Transition Season",IF(AND(MONTH(B5)&gt;=6,MONTH(B5)&lt;=9),"Southwest Monsoon","Typhoon Season")))</f>
        <v>Northeast Monsoon</v>
      </c>
      <c r="Q5" s="5" t="str">
        <f>IF(Raw_Incidents!AR5&lt;&gt;"",Raw_Incidents!AR5,IFERROR(INDEX(Lookups!$E$6:$E$15,MATCH(C5,Lookups!$D$6:$D$15,0)),"Under Investigation"))</f>
        <v>Navigation Error</v>
      </c>
      <c r="R5" s="5" t="str">
        <f>IF(Raw_Incidents!AQ5&lt;&gt;"",Raw_Incidents!AQ5,IFERROR(INDEX(Lookups!$H$6:$H$10,MATCH(Q5,Lookups!$G$6:$G$10,0)),""))</f>
        <v>Communication Failure | Violation of Procedures</v>
      </c>
      <c r="S5" s="5" t="str">
        <f>IF(Raw_Incidents!AI5&lt;&gt;"",Raw_Incidents!AI5,IFERROR(INDEX(Lookups!$K$6:$K$12,MATCH(E5,Lookups!$J$6:$J$12,0)),"General Cargo"))</f>
        <v>Bulk cargo</v>
      </c>
      <c r="T5" s="9">
        <f ca="1">MAX(YEAR(TODAY())-IF(Raw_Incidents!R5&lt;&gt;"",Raw_Incidents!R5,IFERROR(INDEX(Lookups!$N$6:$N$12,MATCH(E5,Lookups!$M$6:$M$12,0)),2010)),0)</f>
        <v>20</v>
      </c>
      <c r="U5" s="9">
        <f>Raw_Incidents!AW5</f>
        <v>0</v>
      </c>
      <c r="V5" s="9">
        <f>Raw_Incidents!AX5</f>
        <v>2</v>
      </c>
      <c r="W5" s="9">
        <f t="shared" ref="W5:W38" si="4">U5+V5</f>
        <v>2</v>
      </c>
      <c r="X5" s="9">
        <f>IFERROR(INDEX(Lookups!$Q$6:$Q$9,MATCH(D5,Lookups!$P$6:$P$9,0)),1)</f>
        <v>3</v>
      </c>
      <c r="Y5" s="9">
        <f t="shared" ref="Y5:Y38" si="5">X5*MAX(W5,1)</f>
        <v>6</v>
      </c>
      <c r="Z5" s="5">
        <f>--OR(Raw_Incidents!J5&lt;&gt;"",Raw_Incidents!K5&lt;&gt;"")</f>
        <v>1</v>
      </c>
      <c r="AA5" s="5">
        <f>--AND(Raw_Incidents!AF5&lt;&gt;"",Raw_Incidents!AG5&lt;&gt;"")</f>
        <v>1</v>
      </c>
      <c r="AB5" s="5">
        <f>--AND(ISNUMBER(Raw_Incidents!Y5),ISNUMBER(Raw_Incidents!Z5),Raw_Incidents!AA5&lt;&gt;"")</f>
        <v>1</v>
      </c>
      <c r="AC5" s="5" t="str">
        <f>IF(Raw_Incidents!AH5&lt;&gt;"",Raw_Incidents!AH5,IF(AND(Raw_Incidents!AF5&lt;&gt;"",Raw_Incidents!AG5&lt;&gt;""),Raw_Incidents!AF5&amp;" to "&amp;Raw_Incidents!AG5,"Route pending"))</f>
        <v>Subic-Manila inbound traffic lane</v>
      </c>
      <c r="AD5" s="10">
        <f>ROUND((--(B5&lt;&gt;"")+--(C5&lt;&gt;"")+--(D5&lt;&gt;"")+--(Raw_Incidents!S5&lt;&gt;"")+--(Raw_Incidents!T5&lt;&gt;"")+--(Raw_Incidents!U5&lt;&gt;"")+--(H5&lt;&gt;"")+AB5+--(Raw_Incidents!F5&lt;&gt;"")+--(Raw_Incidents!I5&lt;&gt;"")+Z5+AA5+--(Raw_Incidents!AI5&lt;&gt;"")+--(Raw_Incidents!AN5&lt;&gt;"")+--(F5&lt;&gt;""))/15*100,0)</f>
        <v>100</v>
      </c>
      <c r="AE5" s="5">
        <f>--(Raw_Incidents!AZ5&lt;&gt;"")</f>
        <v>1</v>
      </c>
      <c r="AF5" s="5">
        <f t="shared" ref="AF5:AF38" si="6">--OR(G5="Verified",G5="Published")</f>
        <v>1</v>
      </c>
      <c r="AG5" s="5" t="str">
        <f>Raw_Incidents!AN5</f>
        <v>Bulk carrier made contact with a harbor support craft while inbound to Manila Bay under congested traffic conditions.</v>
      </c>
      <c r="AH5" s="5" t="str">
        <f>Raw_Incidents!F5</f>
        <v>MV Pacific Trader</v>
      </c>
      <c r="AI5" s="5">
        <f>Raw_Incidents!S5</f>
        <v>14.663</v>
      </c>
      <c r="AJ5" s="5">
        <f>Raw_Incidents!T5</f>
        <v>120.762</v>
      </c>
      <c r="AK5" s="5" t="str">
        <f>Raw_Incidents!AL5</f>
        <v>Web Portal</v>
      </c>
    </row>
    <row r="6" spans="1:37" x14ac:dyDescent="0.25">
      <c r="A6" s="5" t="str">
        <f>Raw_Incidents!A6</f>
        <v>INC-2025-000118</v>
      </c>
      <c r="B6" s="6">
        <f>Raw_Incidents!B6</f>
        <v>45685.444444444453</v>
      </c>
      <c r="C6" s="5" t="str">
        <f>Raw_Incidents!C6</f>
        <v>Fire/Explosion</v>
      </c>
      <c r="D6" s="5" t="str">
        <f>Raw_Incidents!E6</f>
        <v>Serious</v>
      </c>
      <c r="E6" s="5" t="str">
        <f>Raw_Incidents!H6</f>
        <v>Oil Tanker</v>
      </c>
      <c r="F6" s="5" t="str">
        <f>Raw_Incidents!AK6</f>
        <v>MARINA</v>
      </c>
      <c r="G6" s="5" t="str">
        <f>Raw_Incidents!AM6</f>
        <v>Under Review</v>
      </c>
      <c r="H6" s="5" t="str">
        <f>Raw_Incidents!V6</f>
        <v>Batangas</v>
      </c>
      <c r="I6" s="5" t="str">
        <f>IF(Raw_Incidents!W6&lt;&gt;"",Raw_Incidents!W6,Raw_Incidents!U6)</f>
        <v>Verde Island Passage</v>
      </c>
      <c r="J6" s="5" t="str">
        <f>IF(Raw_Incidents!X6&lt;&gt;"",Raw_Incidents!X6,IF(Raw_Incidents!AH6&lt;&gt;"",Raw_Incidents!AH6,IF(AND(Raw_Incidents!AF6&lt;&gt;"",Raw_Incidents!AG6&lt;&gt;""),Raw_Incidents!AF6&amp;" to "&amp;Raw_Incidents!AG6,"Corridor pending")))</f>
        <v>Batangas-Calapan Transit Lane</v>
      </c>
      <c r="K6" s="5" t="str">
        <f>IFERROR(INDEX(Lookups!$B$6:$B$19,MATCH(Raw_Incidents!V6,Lookups!$A$6:$A$19,0)),"National")</f>
        <v>Luzon</v>
      </c>
      <c r="L6" s="5" t="str">
        <f>Raw_Incidents!AA6</f>
        <v>Good</v>
      </c>
      <c r="M6" s="5" t="str">
        <f t="shared" si="0"/>
        <v>Jan 25</v>
      </c>
      <c r="N6" s="5" t="str">
        <f t="shared" si="1"/>
        <v>2025-01</v>
      </c>
      <c r="O6" s="5">
        <f t="shared" si="2"/>
        <v>2025</v>
      </c>
      <c r="P6" s="5" t="str">
        <f t="shared" si="3"/>
        <v>Northeast Monsoon</v>
      </c>
      <c r="Q6" s="5" t="str">
        <f>IF(Raw_Incidents!AR6&lt;&gt;"",Raw_Incidents!AR6,IFERROR(INDEX(Lookups!$E$6:$E$15,MATCH(C6,Lookups!$D$6:$D$15,0)),"Under Investigation"))</f>
        <v>Mechanical Failure</v>
      </c>
      <c r="R6" s="5" t="str">
        <f>IF(Raw_Incidents!AQ6&lt;&gt;"",Raw_Incidents!AQ6,IFERROR(INDEX(Lookups!$H$6:$H$10,MATCH(Q6,Lookups!$G$6:$G$10,0)),""))</f>
        <v>Inadequate Training</v>
      </c>
      <c r="S6" s="5" t="str">
        <f>IF(Raw_Incidents!AI6&lt;&gt;"",Raw_Incidents!AI6,IFERROR(INDEX(Lookups!$K$6:$K$12,MATCH(E6,Lookups!$J$6:$J$12,0)),"General Cargo"))</f>
        <v>Fuel / Oil</v>
      </c>
      <c r="T6" s="9">
        <f ca="1">MAX(YEAR(TODAY())-IF(Raw_Incidents!R6&lt;&gt;"",Raw_Incidents!R6,IFERROR(INDEX(Lookups!$N$6:$N$12,MATCH(E6,Lookups!$M$6:$M$12,0)),2010)),0)</f>
        <v>18</v>
      </c>
      <c r="U6" s="9">
        <f>Raw_Incidents!AW6</f>
        <v>0</v>
      </c>
      <c r="V6" s="9">
        <f>Raw_Incidents!AX6</f>
        <v>4</v>
      </c>
      <c r="W6" s="9">
        <f t="shared" si="4"/>
        <v>4</v>
      </c>
      <c r="X6" s="9">
        <f>IFERROR(INDEX(Lookups!$Q$6:$Q$9,MATCH(D6,Lookups!$P$6:$P$9,0)),1)</f>
        <v>3</v>
      </c>
      <c r="Y6" s="9">
        <f t="shared" si="5"/>
        <v>12</v>
      </c>
      <c r="Z6" s="5">
        <f>--OR(Raw_Incidents!J6&lt;&gt;"",Raw_Incidents!K6&lt;&gt;"")</f>
        <v>1</v>
      </c>
      <c r="AA6" s="5">
        <f>--AND(Raw_Incidents!AF6&lt;&gt;"",Raw_Incidents!AG6&lt;&gt;"")</f>
        <v>1</v>
      </c>
      <c r="AB6" s="5">
        <f>--AND(ISNUMBER(Raw_Incidents!Y6),ISNUMBER(Raw_Incidents!Z6),Raw_Incidents!AA6&lt;&gt;"")</f>
        <v>1</v>
      </c>
      <c r="AC6" s="5" t="str">
        <f>IF(Raw_Incidents!AH6&lt;&gt;"",Raw_Incidents!AH6,IF(AND(Raw_Incidents!AF6&lt;&gt;"",Raw_Incidents!AG6&lt;&gt;""),Raw_Incidents!AF6&amp;" to "&amp;Raw_Incidents!AG6,"Route pending"))</f>
        <v>Verde Island Passage east-west corridor</v>
      </c>
      <c r="AD6" s="10">
        <f>ROUND((--(B6&lt;&gt;"")+--(C6&lt;&gt;"")+--(D6&lt;&gt;"")+--(Raw_Incidents!S6&lt;&gt;"")+--(Raw_Incidents!T6&lt;&gt;"")+--(Raw_Incidents!U6&lt;&gt;"")+--(H6&lt;&gt;"")+AB6+--(Raw_Incidents!F6&lt;&gt;"")+--(Raw_Incidents!I6&lt;&gt;"")+Z6+AA6+--(Raw_Incidents!AI6&lt;&gt;"")+--(Raw_Incidents!AN6&lt;&gt;"")+--(F6&lt;&gt;""))/15*100,0)</f>
        <v>100</v>
      </c>
      <c r="AE6" s="5">
        <f>--(Raw_Incidents!AZ6&lt;&gt;"")</f>
        <v>1</v>
      </c>
      <c r="AF6" s="5">
        <f t="shared" si="6"/>
        <v>0</v>
      </c>
      <c r="AG6" s="5" t="str">
        <f>Raw_Incidents!AN6</f>
        <v>Localized purifier room fire was contained while the tanker transited the Verde Island Passage.</v>
      </c>
      <c r="AH6" s="5" t="str">
        <f>Raw_Incidents!F6</f>
        <v>MT Ocean Star</v>
      </c>
      <c r="AI6" s="5">
        <f>Raw_Incidents!S6</f>
        <v>13.757999999999999</v>
      </c>
      <c r="AJ6" s="5">
        <f>Raw_Incidents!T6</f>
        <v>121.07599999999999</v>
      </c>
      <c r="AK6" s="5" t="str">
        <f>Raw_Incidents!AL6</f>
        <v>Inter-agency Intake</v>
      </c>
    </row>
    <row r="7" spans="1:37" x14ac:dyDescent="0.25">
      <c r="A7" s="5" t="str">
        <f>Raw_Incidents!A7</f>
        <v>INC-2025-000133</v>
      </c>
      <c r="B7" s="6">
        <f>Raw_Incidents!B7</f>
        <v>45694.010416666657</v>
      </c>
      <c r="C7" s="5" t="str">
        <f>Raw_Incidents!C7</f>
        <v>Grounding</v>
      </c>
      <c r="D7" s="5" t="str">
        <f>Raw_Incidents!E7</f>
        <v>Serious</v>
      </c>
      <c r="E7" s="5" t="str">
        <f>Raw_Incidents!H7</f>
        <v>Ferry</v>
      </c>
      <c r="F7" s="5" t="str">
        <f>Raw_Incidents!AK7</f>
        <v>PCG</v>
      </c>
      <c r="G7" s="5" t="str">
        <f>Raw_Incidents!AM7</f>
        <v>Verified</v>
      </c>
      <c r="H7" s="5" t="str">
        <f>Raw_Incidents!V7</f>
        <v>Cebu</v>
      </c>
      <c r="I7" s="5" t="str">
        <f>IF(Raw_Incidents!W7&lt;&gt;"",Raw_Incidents!W7,Raw_Incidents!U7)</f>
        <v>Cebu Strait</v>
      </c>
      <c r="J7" s="5" t="str">
        <f>IF(Raw_Incidents!X7&lt;&gt;"",Raw_Incidents!X7,IF(Raw_Incidents!AH7&lt;&gt;"",Raw_Incidents!AH7,IF(AND(Raw_Incidents!AF7&lt;&gt;"",Raw_Incidents!AG7&lt;&gt;""),Raw_Incidents!AF7&amp;" to "&amp;Raw_Incidents!AG7,"Corridor pending")))</f>
        <v>Cebu-Mactan Southern Approach</v>
      </c>
      <c r="K7" s="5" t="str">
        <f>IFERROR(INDEX(Lookups!$B$6:$B$19,MATCH(Raw_Incidents!V7,Lookups!$A$6:$A$19,0)),"National")</f>
        <v>Visayas</v>
      </c>
      <c r="L7" s="5" t="str">
        <f>Raw_Incidents!AA7</f>
        <v>Good</v>
      </c>
      <c r="M7" s="5" t="str">
        <f t="shared" si="0"/>
        <v>Feb 25</v>
      </c>
      <c r="N7" s="5" t="str">
        <f t="shared" si="1"/>
        <v>2025-02</v>
      </c>
      <c r="O7" s="5">
        <f t="shared" si="2"/>
        <v>2025</v>
      </c>
      <c r="P7" s="5" t="str">
        <f t="shared" si="3"/>
        <v>Northeast Monsoon</v>
      </c>
      <c r="Q7" s="5" t="str">
        <f>IF(Raw_Incidents!AR7&lt;&gt;"",Raw_Incidents!AR7,IFERROR(INDEX(Lookups!$E$6:$E$15,MATCH(C7,Lookups!$D$6:$D$15,0)),"Under Investigation"))</f>
        <v>Navigation Error</v>
      </c>
      <c r="R7" s="5" t="str">
        <f>IF(Raw_Incidents!AQ7&lt;&gt;"",Raw_Incidents!AQ7,IFERROR(INDEX(Lookups!$H$6:$H$10,MATCH(Q7,Lookups!$G$6:$G$10,0)),""))</f>
        <v>Violation of Procedures</v>
      </c>
      <c r="S7" s="5" t="str">
        <f>IF(Raw_Incidents!AI7&lt;&gt;"",Raw_Incidents!AI7,IFERROR(INDEX(Lookups!$K$6:$K$12,MATCH(E7,Lookups!$J$6:$J$12,0)),"General Cargo"))</f>
        <v>Passengers</v>
      </c>
      <c r="T7" s="9">
        <f ca="1">MAX(YEAR(TODAY())-IF(Raw_Incidents!R7&lt;&gt;"",Raw_Incidents!R7,IFERROR(INDEX(Lookups!$N$6:$N$12,MATCH(E7,Lookups!$M$6:$M$12,0)),2010)),0)</f>
        <v>15</v>
      </c>
      <c r="U7" s="9">
        <f>Raw_Incidents!AW7</f>
        <v>0</v>
      </c>
      <c r="V7" s="9">
        <f>Raw_Incidents!AX7</f>
        <v>3</v>
      </c>
      <c r="W7" s="9">
        <f t="shared" si="4"/>
        <v>3</v>
      </c>
      <c r="X7" s="9">
        <f>IFERROR(INDEX(Lookups!$Q$6:$Q$9,MATCH(D7,Lookups!$P$6:$P$9,0)),1)</f>
        <v>3</v>
      </c>
      <c r="Y7" s="9">
        <f t="shared" si="5"/>
        <v>9</v>
      </c>
      <c r="Z7" s="5">
        <f>--OR(Raw_Incidents!J7&lt;&gt;"",Raw_Incidents!K7&lt;&gt;"")</f>
        <v>1</v>
      </c>
      <c r="AA7" s="5">
        <f>--AND(Raw_Incidents!AF7&lt;&gt;"",Raw_Incidents!AG7&lt;&gt;"")</f>
        <v>1</v>
      </c>
      <c r="AB7" s="5">
        <f>--AND(ISNUMBER(Raw_Incidents!Y7),ISNUMBER(Raw_Incidents!Z7),Raw_Incidents!AA7&lt;&gt;"")</f>
        <v>1</v>
      </c>
      <c r="AC7" s="5" t="str">
        <f>IF(Raw_Incidents!AH7&lt;&gt;"",Raw_Incidents!AH7,IF(AND(Raw_Incidents!AF7&lt;&gt;"",Raw_Incidents!AG7&lt;&gt;""),Raw_Incidents!AF7&amp;" to "&amp;Raw_Incidents!AG7,"Route pending"))</f>
        <v>Cebu Strait domestic passenger corridor</v>
      </c>
      <c r="AD7" s="10">
        <f>ROUND((--(B7&lt;&gt;"")+--(C7&lt;&gt;"")+--(D7&lt;&gt;"")+--(Raw_Incidents!S7&lt;&gt;"")+--(Raw_Incidents!T7&lt;&gt;"")+--(Raw_Incidents!U7&lt;&gt;"")+--(H7&lt;&gt;"")+AB7+--(Raw_Incidents!F7&lt;&gt;"")+--(Raw_Incidents!I7&lt;&gt;"")+Z7+AA7+--(Raw_Incidents!AI7&lt;&gt;"")+--(Raw_Incidents!AN7&lt;&gt;"")+--(F7&lt;&gt;""))/15*100,0)</f>
        <v>100</v>
      </c>
      <c r="AE7" s="5">
        <f>--(Raw_Incidents!AZ7&lt;&gt;"")</f>
        <v>1</v>
      </c>
      <c r="AF7" s="5">
        <f t="shared" si="6"/>
        <v>1</v>
      </c>
      <c r="AG7" s="5" t="str">
        <f>Raw_Incidents!AN7</f>
        <v>Passenger ferry grounded on a shoal after deviating slightly south of the recommended approach track.</v>
      </c>
      <c r="AH7" s="5" t="str">
        <f>Raw_Incidents!F7</f>
        <v>MV Island Express</v>
      </c>
      <c r="AI7" s="5">
        <f>Raw_Incidents!S7</f>
        <v>10.231</v>
      </c>
      <c r="AJ7" s="5">
        <f>Raw_Incidents!T7</f>
        <v>123.931</v>
      </c>
      <c r="AK7" s="5" t="str">
        <f>Raw_Incidents!AL7</f>
        <v>Mobile App</v>
      </c>
    </row>
    <row r="8" spans="1:37" x14ac:dyDescent="0.25">
      <c r="A8" s="5" t="str">
        <f>Raw_Incidents!A8</f>
        <v>INC-2025-000147</v>
      </c>
      <c r="B8" s="6">
        <f>Raw_Incidents!B8</f>
        <v>45706.538194444453</v>
      </c>
      <c r="C8" s="5" t="str">
        <f>Raw_Incidents!C8</f>
        <v>Person Overboard</v>
      </c>
      <c r="D8" s="5" t="str">
        <f>Raw_Incidents!E8</f>
        <v>Serious</v>
      </c>
      <c r="E8" s="5" t="str">
        <f>Raw_Incidents!H8</f>
        <v>Passenger Vessel</v>
      </c>
      <c r="F8" s="5" t="str">
        <f>Raw_Incidents!AK8</f>
        <v>PCG</v>
      </c>
      <c r="G8" s="5" t="str">
        <f>Raw_Incidents!AM8</f>
        <v>Published</v>
      </c>
      <c r="H8" s="5" t="str">
        <f>Raw_Incidents!V8</f>
        <v>Palawan</v>
      </c>
      <c r="I8" s="5" t="str">
        <f>IF(Raw_Incidents!W8&lt;&gt;"",Raw_Incidents!W8,Raw_Incidents!U8)</f>
        <v>Palawan Approaches</v>
      </c>
      <c r="J8" s="5" t="str">
        <f>IF(Raw_Incidents!X8&lt;&gt;"",Raw_Incidents!X8,IF(Raw_Incidents!AH8&lt;&gt;"",Raw_Incidents!AH8,IF(AND(Raw_Incidents!AF8&lt;&gt;"",Raw_Incidents!AG8&lt;&gt;""),Raw_Incidents!AF8&amp;" to "&amp;Raw_Incidents!AG8,"Corridor pending")))</f>
        <v>Puerto Princesa Western Approach</v>
      </c>
      <c r="K8" s="5" t="str">
        <f>IFERROR(INDEX(Lookups!$B$6:$B$19,MATCH(Raw_Incidents!V8,Lookups!$A$6:$A$19,0)),"National")</f>
        <v>Luzon</v>
      </c>
      <c r="L8" s="5" t="str">
        <f>Raw_Incidents!AA8</f>
        <v>Good</v>
      </c>
      <c r="M8" s="5" t="str">
        <f t="shared" si="0"/>
        <v>Feb 25</v>
      </c>
      <c r="N8" s="5" t="str">
        <f t="shared" si="1"/>
        <v>2025-02</v>
      </c>
      <c r="O8" s="5">
        <f t="shared" si="2"/>
        <v>2025</v>
      </c>
      <c r="P8" s="5" t="str">
        <f t="shared" si="3"/>
        <v>Northeast Monsoon</v>
      </c>
      <c r="Q8" s="5" t="str">
        <f>IF(Raw_Incidents!AR8&lt;&gt;"",Raw_Incidents!AR8,IFERROR(INDEX(Lookups!$E$6:$E$15,MATCH(C8,Lookups!$D$6:$D$15,0)),"Under Investigation"))</f>
        <v>Human Error</v>
      </c>
      <c r="R8" s="5" t="str">
        <f>IF(Raw_Incidents!AQ8&lt;&gt;"",Raw_Incidents!AQ8,IFERROR(INDEX(Lookups!$H$6:$H$10,MATCH(Q8,Lookups!$G$6:$G$10,0)),""))</f>
        <v>Fatigue</v>
      </c>
      <c r="S8" s="5" t="str">
        <f>IF(Raw_Incidents!AI8&lt;&gt;"",Raw_Incidents!AI8,IFERROR(INDEX(Lookups!$K$6:$K$12,MATCH(E8,Lookups!$J$6:$J$12,0)),"General Cargo"))</f>
        <v>Passengers</v>
      </c>
      <c r="T8" s="9">
        <f ca="1">MAX(YEAR(TODAY())-IF(Raw_Incidents!R8&lt;&gt;"",Raw_Incidents!R8,IFERROR(INDEX(Lookups!$N$6:$N$12,MATCH(E8,Lookups!$M$6:$M$12,0)),2010)),0)</f>
        <v>17</v>
      </c>
      <c r="U8" s="9">
        <f>Raw_Incidents!AW8</f>
        <v>1</v>
      </c>
      <c r="V8" s="9">
        <f>Raw_Incidents!AX8</f>
        <v>0</v>
      </c>
      <c r="W8" s="9">
        <f t="shared" si="4"/>
        <v>1</v>
      </c>
      <c r="X8" s="9">
        <f>IFERROR(INDEX(Lookups!$Q$6:$Q$9,MATCH(D8,Lookups!$P$6:$P$9,0)),1)</f>
        <v>3</v>
      </c>
      <c r="Y8" s="9">
        <f t="shared" si="5"/>
        <v>3</v>
      </c>
      <c r="Z8" s="5">
        <f>--OR(Raw_Incidents!J8&lt;&gt;"",Raw_Incidents!K8&lt;&gt;"")</f>
        <v>1</v>
      </c>
      <c r="AA8" s="5">
        <f>--AND(Raw_Incidents!AF8&lt;&gt;"",Raw_Incidents!AG8&lt;&gt;"")</f>
        <v>1</v>
      </c>
      <c r="AB8" s="5">
        <f>--AND(ISNUMBER(Raw_Incidents!Y8),ISNUMBER(Raw_Incidents!Z8),Raw_Incidents!AA8&lt;&gt;"")</f>
        <v>1</v>
      </c>
      <c r="AC8" s="5" t="str">
        <f>IF(Raw_Incidents!AH8&lt;&gt;"",Raw_Incidents!AH8,IF(AND(Raw_Incidents!AF8&lt;&gt;"",Raw_Incidents!AG8&lt;&gt;""),Raw_Incidents!AF8&amp;" to "&amp;Raw_Incidents!AG8,"Route pending"))</f>
        <v>West Palawan coastal approach lane</v>
      </c>
      <c r="AD8" s="10">
        <f>ROUND((--(B8&lt;&gt;"")+--(C8&lt;&gt;"")+--(D8&lt;&gt;"")+--(Raw_Incidents!S8&lt;&gt;"")+--(Raw_Incidents!T8&lt;&gt;"")+--(Raw_Incidents!U8&lt;&gt;"")+--(H8&lt;&gt;"")+AB8+--(Raw_Incidents!F8&lt;&gt;"")+--(Raw_Incidents!I8&lt;&gt;"")+Z8+AA8+--(Raw_Incidents!AI8&lt;&gt;"")+--(Raw_Incidents!AN8&lt;&gt;"")+--(F8&lt;&gt;""))/15*100,0)</f>
        <v>100</v>
      </c>
      <c r="AE8" s="5">
        <f>--(Raw_Incidents!AZ8&lt;&gt;"")</f>
        <v>1</v>
      </c>
      <c r="AF8" s="5">
        <f t="shared" si="6"/>
        <v>1</v>
      </c>
      <c r="AG8" s="5" t="str">
        <f>Raw_Incidents!AN8</f>
        <v>Passenger was reported missing shortly after sunset during the western approach to Puerto Princesa.</v>
      </c>
      <c r="AH8" s="5" t="str">
        <f>Raw_Incidents!F8</f>
        <v>MV Visayan Princess</v>
      </c>
      <c r="AI8" s="5">
        <f>Raw_Incidents!S8</f>
        <v>9.6959999999999997</v>
      </c>
      <c r="AJ8" s="5">
        <f>Raw_Incidents!T8</f>
        <v>118.491</v>
      </c>
      <c r="AK8" s="5" t="str">
        <f>Raw_Incidents!AL8</f>
        <v>Email Intake</v>
      </c>
    </row>
    <row r="9" spans="1:37" x14ac:dyDescent="0.25">
      <c r="A9" s="5" t="str">
        <f>Raw_Incidents!A9</f>
        <v>INC-2025-000163</v>
      </c>
      <c r="B9" s="6">
        <f>Raw_Incidents!B9</f>
        <v>45719.888888888891</v>
      </c>
      <c r="C9" s="5" t="str">
        <f>Raw_Incidents!C9</f>
        <v>Sinking</v>
      </c>
      <c r="D9" s="5" t="str">
        <f>Raw_Incidents!E9</f>
        <v>Very Serious</v>
      </c>
      <c r="E9" s="5" t="str">
        <f>Raw_Incidents!H9</f>
        <v>Fishing Vessel</v>
      </c>
      <c r="F9" s="5" t="str">
        <f>Raw_Incidents!AK9</f>
        <v>PCG</v>
      </c>
      <c r="G9" s="5" t="str">
        <f>Raw_Incidents!AM9</f>
        <v>Published</v>
      </c>
      <c r="H9" s="5" t="str">
        <f>Raw_Incidents!V9</f>
        <v>Southern Leyte</v>
      </c>
      <c r="I9" s="5" t="str">
        <f>IF(Raw_Incidents!W9&lt;&gt;"",Raw_Incidents!W9,Raw_Incidents!U9)</f>
        <v>Surigao Strait</v>
      </c>
      <c r="J9" s="5" t="str">
        <f>IF(Raw_Incidents!X9&lt;&gt;"",Raw_Incidents!X9,IF(Raw_Incidents!AH9&lt;&gt;"",Raw_Incidents!AH9,IF(AND(Raw_Incidents!AF9&lt;&gt;"",Raw_Incidents!AG9&lt;&gt;""),Raw_Incidents!AF9&amp;" to "&amp;Raw_Incidents!AG9,"Corridor pending")))</f>
        <v>Liloan-Surigao Crossing</v>
      </c>
      <c r="K9" s="5" t="str">
        <f>IFERROR(INDEX(Lookups!$B$6:$B$19,MATCH(Raw_Incidents!V9,Lookups!$A$6:$A$19,0)),"National")</f>
        <v>Visayas</v>
      </c>
      <c r="L9" s="5" t="str">
        <f>Raw_Incidents!AA9</f>
        <v>Poor</v>
      </c>
      <c r="M9" s="5" t="str">
        <f t="shared" si="0"/>
        <v>Mar 25</v>
      </c>
      <c r="N9" s="5" t="str">
        <f t="shared" si="1"/>
        <v>2025-03</v>
      </c>
      <c r="O9" s="5">
        <f t="shared" si="2"/>
        <v>2025</v>
      </c>
      <c r="P9" s="5" t="str">
        <f t="shared" si="3"/>
        <v>Transition Season</v>
      </c>
      <c r="Q9" s="5" t="str">
        <f>IF(Raw_Incidents!AR9&lt;&gt;"",Raw_Incidents!AR9,IFERROR(INDEX(Lookups!$E$6:$E$15,MATCH(C9,Lookups!$D$6:$D$15,0)),"Under Investigation"))</f>
        <v>Weather Conditions</v>
      </c>
      <c r="R9" s="5" t="str">
        <f>IF(Raw_Incidents!AQ9&lt;&gt;"",Raw_Incidents!AQ9,IFERROR(INDEX(Lookups!$H$6:$H$10,MATCH(Q9,Lookups!$G$6:$G$10,0)),""))</f>
        <v>Violation of Procedures | Communication Failure</v>
      </c>
      <c r="S9" s="5" t="str">
        <f>IF(Raw_Incidents!AI9&lt;&gt;"",Raw_Incidents!AI9,IFERROR(INDEX(Lookups!$K$6:$K$12,MATCH(E9,Lookups!$J$6:$J$12,0)),"General Cargo"))</f>
        <v>Fish Catch</v>
      </c>
      <c r="T9" s="9">
        <f ca="1">MAX(YEAR(TODAY())-IF(Raw_Incidents!R9&lt;&gt;"",Raw_Incidents!R9,IFERROR(INDEX(Lookups!$N$6:$N$12,MATCH(E9,Lookups!$M$6:$M$12,0)),2010)),0)</f>
        <v>24</v>
      </c>
      <c r="U9" s="9">
        <f>Raw_Incidents!AW9</f>
        <v>3</v>
      </c>
      <c r="V9" s="9">
        <f>Raw_Incidents!AX9</f>
        <v>2</v>
      </c>
      <c r="W9" s="9">
        <f t="shared" si="4"/>
        <v>5</v>
      </c>
      <c r="X9" s="9">
        <f>IFERROR(INDEX(Lookups!$Q$6:$Q$9,MATCH(D9,Lookups!$P$6:$P$9,0)),1)</f>
        <v>4</v>
      </c>
      <c r="Y9" s="9">
        <f t="shared" si="5"/>
        <v>20</v>
      </c>
      <c r="Z9" s="5">
        <f>--OR(Raw_Incidents!J9&lt;&gt;"",Raw_Incidents!K9&lt;&gt;"")</f>
        <v>1</v>
      </c>
      <c r="AA9" s="5">
        <f>--AND(Raw_Incidents!AF9&lt;&gt;"",Raw_Incidents!AG9&lt;&gt;"")</f>
        <v>1</v>
      </c>
      <c r="AB9" s="5">
        <f>--AND(ISNUMBER(Raw_Incidents!Y9),ISNUMBER(Raw_Incidents!Z9),Raw_Incidents!AA9&lt;&gt;"")</f>
        <v>1</v>
      </c>
      <c r="AC9" s="5" t="str">
        <f>IF(Raw_Incidents!AH9&lt;&gt;"",Raw_Incidents!AH9,IF(AND(Raw_Incidents!AF9&lt;&gt;"",Raw_Incidents!AG9&lt;&gt;""),Raw_Incidents!AF9&amp;" to "&amp;Raw_Incidents!AG9,"Route pending"))</f>
        <v>Southern Leyte-Surigao strait crossing lane</v>
      </c>
      <c r="AD9" s="10">
        <f>ROUND((--(B9&lt;&gt;"")+--(C9&lt;&gt;"")+--(D9&lt;&gt;"")+--(Raw_Incidents!S9&lt;&gt;"")+--(Raw_Incidents!T9&lt;&gt;"")+--(Raw_Incidents!U9&lt;&gt;"")+--(H9&lt;&gt;"")+AB9+--(Raw_Incidents!F9&lt;&gt;"")+--(Raw_Incidents!I9&lt;&gt;"")+Z9+AA9+--(Raw_Incidents!AI9&lt;&gt;"")+--(Raw_Incidents!AN9&lt;&gt;"")+--(F9&lt;&gt;""))/15*100,0)</f>
        <v>100</v>
      </c>
      <c r="AE9" s="5">
        <f>--(Raw_Incidents!AZ9&lt;&gt;"")</f>
        <v>1</v>
      </c>
      <c r="AF9" s="5">
        <f t="shared" si="6"/>
        <v>1</v>
      </c>
      <c r="AG9" s="5" t="str">
        <f>Raw_Incidents!AN9</f>
        <v>Fishing vessel took repeated boarding seas and sank while crossing the eastern edge of the Surigao Strait traffic lane.</v>
      </c>
      <c r="AH9" s="5" t="str">
        <f>Raw_Incidents!F9</f>
        <v>FB Santa Rosa</v>
      </c>
      <c r="AI9" s="5">
        <f>Raw_Incidents!S9</f>
        <v>10.949</v>
      </c>
      <c r="AJ9" s="5">
        <f>Raw_Incidents!T9</f>
        <v>125.574</v>
      </c>
      <c r="AK9" s="5" t="str">
        <f>Raw_Incidents!AL9</f>
        <v>Manual Encoding</v>
      </c>
    </row>
    <row r="10" spans="1:37" x14ac:dyDescent="0.25">
      <c r="A10" s="5" t="str">
        <f>Raw_Incidents!A10</f>
        <v>INC-2025-000181</v>
      </c>
      <c r="B10" s="6">
        <f>Raw_Incidents!B10</f>
        <v>45732.354166666657</v>
      </c>
      <c r="C10" s="5" t="str">
        <f>Raw_Incidents!C10</f>
        <v>Capsizing</v>
      </c>
      <c r="D10" s="5" t="str">
        <f>Raw_Incidents!E10</f>
        <v>Very Serious</v>
      </c>
      <c r="E10" s="5" t="str">
        <f>Raw_Incidents!H10</f>
        <v>Fishing Vessel</v>
      </c>
      <c r="F10" s="5" t="str">
        <f>Raw_Incidents!AK10</f>
        <v>PCG</v>
      </c>
      <c r="G10" s="5" t="str">
        <f>Raw_Incidents!AM10</f>
        <v>Published</v>
      </c>
      <c r="H10" s="5" t="str">
        <f>Raw_Incidents!V10</f>
        <v>Davao del Sur</v>
      </c>
      <c r="I10" s="5" t="str">
        <f>IF(Raw_Incidents!W10&lt;&gt;"",Raw_Incidents!W10,Raw_Incidents!U10)</f>
        <v>Davao Gulf</v>
      </c>
      <c r="J10" s="5" t="str">
        <f>IF(Raw_Incidents!X10&lt;&gt;"",Raw_Incidents!X10,IF(Raw_Incidents!AH10&lt;&gt;"",Raw_Incidents!AH10,IF(AND(Raw_Incidents!AF10&lt;&gt;"",Raw_Incidents!AG10&lt;&gt;""),Raw_Incidents!AF10&amp;" to "&amp;Raw_Incidents!AG10,"Corridor pending")))</f>
        <v>Samal-Davao Pilotage Route</v>
      </c>
      <c r="K10" s="5" t="str">
        <f>IFERROR(INDEX(Lookups!$B$6:$B$19,MATCH(Raw_Incidents!V10,Lookups!$A$6:$A$19,0)),"National")</f>
        <v>Mindanao</v>
      </c>
      <c r="L10" s="5" t="str">
        <f>Raw_Incidents!AA10</f>
        <v>Moderate</v>
      </c>
      <c r="M10" s="5" t="str">
        <f t="shared" si="0"/>
        <v>Mar 25</v>
      </c>
      <c r="N10" s="5" t="str">
        <f t="shared" si="1"/>
        <v>2025-03</v>
      </c>
      <c r="O10" s="5">
        <f t="shared" si="2"/>
        <v>2025</v>
      </c>
      <c r="P10" s="5" t="str">
        <f t="shared" si="3"/>
        <v>Transition Season</v>
      </c>
      <c r="Q10" s="5" t="str">
        <f>IF(Raw_Incidents!AR10&lt;&gt;"",Raw_Incidents!AR10,IFERROR(INDEX(Lookups!$E$6:$E$15,MATCH(C10,Lookups!$D$6:$D$15,0)),"Under Investigation"))</f>
        <v>Weather Conditions</v>
      </c>
      <c r="R10" s="5" t="str">
        <f>IF(Raw_Incidents!AQ10&lt;&gt;"",Raw_Incidents!AQ10,IFERROR(INDEX(Lookups!$H$6:$H$10,MATCH(Q10,Lookups!$G$6:$G$10,0)),""))</f>
        <v>Violation of Procedures</v>
      </c>
      <c r="S10" s="5" t="str">
        <f>IF(Raw_Incidents!AI10&lt;&gt;"",Raw_Incidents!AI10,IFERROR(INDEX(Lookups!$K$6:$K$12,MATCH(E10,Lookups!$J$6:$J$12,0)),"General Cargo"))</f>
        <v>Fish Catch</v>
      </c>
      <c r="T10" s="9">
        <f ca="1">MAX(YEAR(TODAY())-IF(Raw_Incidents!R10&lt;&gt;"",Raw_Incidents!R10,IFERROR(INDEX(Lookups!$N$6:$N$12,MATCH(E10,Lookups!$M$6:$M$12,0)),2010)),0)</f>
        <v>22</v>
      </c>
      <c r="U10" s="9">
        <f>Raw_Incidents!AW10</f>
        <v>2</v>
      </c>
      <c r="V10" s="9">
        <f>Raw_Incidents!AX10</f>
        <v>1</v>
      </c>
      <c r="W10" s="9">
        <f t="shared" si="4"/>
        <v>3</v>
      </c>
      <c r="X10" s="9">
        <f>IFERROR(INDEX(Lookups!$Q$6:$Q$9,MATCH(D10,Lookups!$P$6:$P$9,0)),1)</f>
        <v>4</v>
      </c>
      <c r="Y10" s="9">
        <f t="shared" si="5"/>
        <v>12</v>
      </c>
      <c r="Z10" s="5">
        <f>--OR(Raw_Incidents!J10&lt;&gt;"",Raw_Incidents!K10&lt;&gt;"")</f>
        <v>1</v>
      </c>
      <c r="AA10" s="5">
        <f>--AND(Raw_Incidents!AF10&lt;&gt;"",Raw_Incidents!AG10&lt;&gt;"")</f>
        <v>1</v>
      </c>
      <c r="AB10" s="5">
        <f>--AND(ISNUMBER(Raw_Incidents!Y10),ISNUMBER(Raw_Incidents!Z10),Raw_Incidents!AA10&lt;&gt;"")</f>
        <v>1</v>
      </c>
      <c r="AC10" s="5" t="str">
        <f>IF(Raw_Incidents!AH10&lt;&gt;"",Raw_Incidents!AH10,IF(AND(Raw_Incidents!AF10&lt;&gt;"",Raw_Incidents!AG10&lt;&gt;""),Raw_Incidents!AF10&amp;" to "&amp;Raw_Incidents!AG10,"Route pending"))</f>
        <v>Davao Gulf northbound merchant lane</v>
      </c>
      <c r="AD10" s="10">
        <f>ROUND((--(B10&lt;&gt;"")+--(C10&lt;&gt;"")+--(D10&lt;&gt;"")+--(Raw_Incidents!S10&lt;&gt;"")+--(Raw_Incidents!T10&lt;&gt;"")+--(Raw_Incidents!U10&lt;&gt;"")+--(H10&lt;&gt;"")+AB10+--(Raw_Incidents!F10&lt;&gt;"")+--(Raw_Incidents!I10&lt;&gt;"")+Z10+AA10+--(Raw_Incidents!AI10&lt;&gt;"")+--(Raw_Incidents!AN10&lt;&gt;"")+--(F10&lt;&gt;""))/15*100,0)</f>
        <v>100</v>
      </c>
      <c r="AE10" s="5">
        <f>--(Raw_Incidents!AZ10&lt;&gt;"")</f>
        <v>1</v>
      </c>
      <c r="AF10" s="5">
        <f t="shared" si="6"/>
        <v>1</v>
      </c>
      <c r="AG10" s="5" t="str">
        <f>Raw_Incidents!AN10</f>
        <v>Fishing vessel capsized while hauling gear in beam seas near the northern Davao Gulf lane.</v>
      </c>
      <c r="AH10" s="5" t="str">
        <f>Raw_Incidents!F10</f>
        <v>FB San Miguel</v>
      </c>
      <c r="AI10" s="5">
        <f>Raw_Incidents!S10</f>
        <v>6.8739999999999997</v>
      </c>
      <c r="AJ10" s="5">
        <f>Raw_Incidents!T10</f>
        <v>125.729</v>
      </c>
      <c r="AK10" s="5" t="str">
        <f>Raw_Incidents!AL10</f>
        <v>Mobile App</v>
      </c>
    </row>
    <row r="11" spans="1:37" x14ac:dyDescent="0.25">
      <c r="A11" s="5" t="str">
        <f>Raw_Incidents!A11</f>
        <v>INC-2025-000196</v>
      </c>
      <c r="B11" s="6">
        <f>Raw_Incidents!B11</f>
        <v>45745.243055555547</v>
      </c>
      <c r="C11" s="5" t="str">
        <f>Raw_Incidents!C11</f>
        <v>Collision</v>
      </c>
      <c r="D11" s="5" t="str">
        <f>Raw_Incidents!E11</f>
        <v>Less Serious</v>
      </c>
      <c r="E11" s="5" t="str">
        <f>Raw_Incidents!H11</f>
        <v>Ferry</v>
      </c>
      <c r="F11" s="5" t="str">
        <f>Raw_Incidents!AK11</f>
        <v>PCG</v>
      </c>
      <c r="G11" s="5" t="str">
        <f>Raw_Incidents!AM11</f>
        <v>Verified</v>
      </c>
      <c r="H11" s="5" t="str">
        <f>Raw_Incidents!V11</f>
        <v>Sorsogon</v>
      </c>
      <c r="I11" s="5" t="str">
        <f>IF(Raw_Incidents!W11&lt;&gt;"",Raw_Incidents!W11,Raw_Incidents!U11)</f>
        <v>San Bernardino Strait</v>
      </c>
      <c r="J11" s="5" t="str">
        <f>IF(Raw_Incidents!X11&lt;&gt;"",Raw_Incidents!X11,IF(Raw_Incidents!AH11&lt;&gt;"",Raw_Incidents!AH11,IF(AND(Raw_Incidents!AF11&lt;&gt;"",Raw_Incidents!AG11&lt;&gt;""),Raw_Incidents!AF11&amp;" to "&amp;Raw_Incidents!AG11,"Corridor pending")))</f>
        <v>Matnog-Allen Ferry Transit</v>
      </c>
      <c r="K11" s="5" t="str">
        <f>IFERROR(INDEX(Lookups!$B$6:$B$19,MATCH(Raw_Incidents!V11,Lookups!$A$6:$A$19,0)),"National")</f>
        <v>Luzon</v>
      </c>
      <c r="L11" s="5" t="str">
        <f>Raw_Incidents!AA11</f>
        <v>Moderate</v>
      </c>
      <c r="M11" s="5" t="str">
        <f t="shared" si="0"/>
        <v>Mar 25</v>
      </c>
      <c r="N11" s="5" t="str">
        <f t="shared" si="1"/>
        <v>2025-03</v>
      </c>
      <c r="O11" s="5">
        <f t="shared" si="2"/>
        <v>2025</v>
      </c>
      <c r="P11" s="5" t="str">
        <f t="shared" si="3"/>
        <v>Transition Season</v>
      </c>
      <c r="Q11" s="5" t="str">
        <f>IF(Raw_Incidents!AR11&lt;&gt;"",Raw_Incidents!AR11,IFERROR(INDEX(Lookups!$E$6:$E$15,MATCH(C11,Lookups!$D$6:$D$15,0)),"Under Investigation"))</f>
        <v>Navigation Error</v>
      </c>
      <c r="R11" s="5" t="str">
        <f>IF(Raw_Incidents!AQ11&lt;&gt;"",Raw_Incidents!AQ11,IFERROR(INDEX(Lookups!$H$6:$H$10,MATCH(Q11,Lookups!$G$6:$G$10,0)),""))</f>
        <v>Communication Failure</v>
      </c>
      <c r="S11" s="5" t="str">
        <f>IF(Raw_Incidents!AI11&lt;&gt;"",Raw_Incidents!AI11,IFERROR(INDEX(Lookups!$K$6:$K$12,MATCH(E11,Lookups!$J$6:$J$12,0)),"General Cargo"))</f>
        <v>Passengers</v>
      </c>
      <c r="T11" s="9">
        <f ca="1">MAX(YEAR(TODAY())-IF(Raw_Incidents!R11&lt;&gt;"",Raw_Incidents!R11,IFERROR(INDEX(Lookups!$N$6:$N$12,MATCH(E11,Lookups!$M$6:$M$12,0)),2010)),0)</f>
        <v>13</v>
      </c>
      <c r="U11" s="9">
        <f>Raw_Incidents!AW11</f>
        <v>0</v>
      </c>
      <c r="V11" s="9">
        <f>Raw_Incidents!AX11</f>
        <v>1</v>
      </c>
      <c r="W11" s="9">
        <f t="shared" si="4"/>
        <v>1</v>
      </c>
      <c r="X11" s="9">
        <f>IFERROR(INDEX(Lookups!$Q$6:$Q$9,MATCH(D11,Lookups!$P$6:$P$9,0)),1)</f>
        <v>2</v>
      </c>
      <c r="Y11" s="9">
        <f t="shared" si="5"/>
        <v>2</v>
      </c>
      <c r="Z11" s="5">
        <f>--OR(Raw_Incidents!J11&lt;&gt;"",Raw_Incidents!K11&lt;&gt;"")</f>
        <v>1</v>
      </c>
      <c r="AA11" s="5">
        <f>--AND(Raw_Incidents!AF11&lt;&gt;"",Raw_Incidents!AG11&lt;&gt;"")</f>
        <v>1</v>
      </c>
      <c r="AB11" s="5">
        <f>--AND(ISNUMBER(Raw_Incidents!Y11),ISNUMBER(Raw_Incidents!Z11),Raw_Incidents!AA11&lt;&gt;"")</f>
        <v>1</v>
      </c>
      <c r="AC11" s="5" t="str">
        <f>IF(Raw_Incidents!AH11&lt;&gt;"",Raw_Incidents!AH11,IF(AND(Raw_Incidents!AF11&lt;&gt;"",Raw_Incidents!AG11&lt;&gt;""),Raw_Incidents!AF11&amp;" to "&amp;Raw_Incidents!AG11,"Route pending"))</f>
        <v>San Bernardino inter-island ferry route</v>
      </c>
      <c r="AD11" s="10">
        <f>ROUND((--(B11&lt;&gt;"")+--(C11&lt;&gt;"")+--(D11&lt;&gt;"")+--(Raw_Incidents!S11&lt;&gt;"")+--(Raw_Incidents!T11&lt;&gt;"")+--(Raw_Incidents!U11&lt;&gt;"")+--(H11&lt;&gt;"")+AB11+--(Raw_Incidents!F11&lt;&gt;"")+--(Raw_Incidents!I11&lt;&gt;"")+Z11+AA11+--(Raw_Incidents!AI11&lt;&gt;"")+--(Raw_Incidents!AN11&lt;&gt;"")+--(F11&lt;&gt;""))/15*100,0)</f>
        <v>100</v>
      </c>
      <c r="AE11" s="5">
        <f>--(Raw_Incidents!AZ11&lt;&gt;"")</f>
        <v>1</v>
      </c>
      <c r="AF11" s="5">
        <f t="shared" si="6"/>
        <v>1</v>
      </c>
      <c r="AG11" s="5" t="str">
        <f>Raw_Incidents!AN11</f>
        <v>RoRo ferry brushed a lightering barge while adjusting its lane position in San Bernardino Strait.</v>
      </c>
      <c r="AH11" s="5" t="str">
        <f>Raw_Incidents!F11</f>
        <v>MV Samar Venture</v>
      </c>
      <c r="AI11" s="5">
        <f>Raw_Incidents!S11</f>
        <v>12.753</v>
      </c>
      <c r="AJ11" s="5">
        <f>Raw_Incidents!T11</f>
        <v>124.38</v>
      </c>
      <c r="AK11" s="5" t="str">
        <f>Raw_Incidents!AL11</f>
        <v>Web Portal</v>
      </c>
    </row>
    <row r="12" spans="1:37" x14ac:dyDescent="0.25">
      <c r="A12" s="5" t="str">
        <f>Raw_Incidents!A12</f>
        <v>INC-2025-000214</v>
      </c>
      <c r="B12" s="6">
        <f>Raw_Incidents!B12</f>
        <v>45757.065972222219</v>
      </c>
      <c r="C12" s="5" t="str">
        <f>Raw_Incidents!C12</f>
        <v>Machinery Failure</v>
      </c>
      <c r="D12" s="5" t="str">
        <f>Raw_Incidents!E12</f>
        <v>Less Serious</v>
      </c>
      <c r="E12" s="5" t="str">
        <f>Raw_Incidents!H12</f>
        <v>Bulk Carrier</v>
      </c>
      <c r="F12" s="5" t="str">
        <f>Raw_Incidents!AK12</f>
        <v>MARINA</v>
      </c>
      <c r="G12" s="5" t="str">
        <f>Raw_Incidents!AM12</f>
        <v>Verified</v>
      </c>
      <c r="H12" s="5" t="str">
        <f>Raw_Incidents!V12</f>
        <v>Misamis Oriental</v>
      </c>
      <c r="I12" s="5" t="str">
        <f>IF(Raw_Incidents!W12&lt;&gt;"",Raw_Incidents!W12,Raw_Incidents!U12)</f>
        <v>Macajalar Bay</v>
      </c>
      <c r="J12" s="5" t="str">
        <f>IF(Raw_Incidents!X12&lt;&gt;"",Raw_Incidents!X12,IF(Raw_Incidents!AH12&lt;&gt;"",Raw_Incidents!AH12,IF(AND(Raw_Incidents!AF12&lt;&gt;"",Raw_Incidents!AG12&lt;&gt;""),Raw_Incidents!AF12&amp;" to "&amp;Raw_Incidents!AG12,"Corridor pending")))</f>
        <v>Macajalar Bay Bulk Access Lane</v>
      </c>
      <c r="K12" s="5" t="str">
        <f>IFERROR(INDEX(Lookups!$B$6:$B$19,MATCH(Raw_Incidents!V12,Lookups!$A$6:$A$19,0)),"National")</f>
        <v>Mindanao</v>
      </c>
      <c r="L12" s="5" t="str">
        <f>Raw_Incidents!AA12</f>
        <v>Good</v>
      </c>
      <c r="M12" s="5" t="str">
        <f t="shared" si="0"/>
        <v>Apr 25</v>
      </c>
      <c r="N12" s="5" t="str">
        <f t="shared" si="1"/>
        <v>2025-04</v>
      </c>
      <c r="O12" s="5">
        <f t="shared" si="2"/>
        <v>2025</v>
      </c>
      <c r="P12" s="5" t="str">
        <f t="shared" si="3"/>
        <v>Transition Season</v>
      </c>
      <c r="Q12" s="5" t="str">
        <f>IF(Raw_Incidents!AR12&lt;&gt;"",Raw_Incidents!AR12,IFERROR(INDEX(Lookups!$E$6:$E$15,MATCH(C12,Lookups!$D$6:$D$15,0)),"Under Investigation"))</f>
        <v>Mechanical Failure</v>
      </c>
      <c r="R12" s="5" t="str">
        <f>IF(Raw_Incidents!AQ12&lt;&gt;"",Raw_Incidents!AQ12,IFERROR(INDEX(Lookups!$H$6:$H$10,MATCH(Q12,Lookups!$G$6:$G$10,0)),""))</f>
        <v>Inadequate Training</v>
      </c>
      <c r="S12" s="5" t="str">
        <f>IF(Raw_Incidents!AI12&lt;&gt;"",Raw_Incidents!AI12,IFERROR(INDEX(Lookups!$K$6:$K$12,MATCH(E12,Lookups!$J$6:$J$12,0)),"General Cargo"))</f>
        <v>Bulk cargo</v>
      </c>
      <c r="T12" s="9">
        <f ca="1">MAX(YEAR(TODAY())-IF(Raw_Incidents!R12&lt;&gt;"",Raw_Incidents!R12,IFERROR(INDEX(Lookups!$N$6:$N$12,MATCH(E12,Lookups!$M$6:$M$12,0)),2010)),0)</f>
        <v>19</v>
      </c>
      <c r="U12" s="9">
        <f>Raw_Incidents!AW12</f>
        <v>0</v>
      </c>
      <c r="V12" s="9">
        <f>Raw_Incidents!AX12</f>
        <v>0</v>
      </c>
      <c r="W12" s="9">
        <f t="shared" si="4"/>
        <v>0</v>
      </c>
      <c r="X12" s="9">
        <f>IFERROR(INDEX(Lookups!$Q$6:$Q$9,MATCH(D12,Lookups!$P$6:$P$9,0)),1)</f>
        <v>2</v>
      </c>
      <c r="Y12" s="9">
        <f t="shared" si="5"/>
        <v>2</v>
      </c>
      <c r="Z12" s="5">
        <f>--OR(Raw_Incidents!J12&lt;&gt;"",Raw_Incidents!K12&lt;&gt;"")</f>
        <v>1</v>
      </c>
      <c r="AA12" s="5">
        <f>--AND(Raw_Incidents!AF12&lt;&gt;"",Raw_Incidents!AG12&lt;&gt;"")</f>
        <v>1</v>
      </c>
      <c r="AB12" s="5">
        <f>--AND(ISNUMBER(Raw_Incidents!Y12),ISNUMBER(Raw_Incidents!Z12),Raw_Incidents!AA12&lt;&gt;"")</f>
        <v>1</v>
      </c>
      <c r="AC12" s="5" t="str">
        <f>IF(Raw_Incidents!AH12&lt;&gt;"",Raw_Incidents!AH12,IF(AND(Raw_Incidents!AF12&lt;&gt;"",Raw_Incidents!AG12&lt;&gt;""),Raw_Incidents!AF12&amp;" to "&amp;Raw_Incidents!AG12,"Route pending"))</f>
        <v>Macajalar Bay industrial shipping lane</v>
      </c>
      <c r="AD12" s="10">
        <f>ROUND((--(B12&lt;&gt;"")+--(C12&lt;&gt;"")+--(D12&lt;&gt;"")+--(Raw_Incidents!S12&lt;&gt;"")+--(Raw_Incidents!T12&lt;&gt;"")+--(Raw_Incidents!U12&lt;&gt;"")+--(H12&lt;&gt;"")+AB12+--(Raw_Incidents!F12&lt;&gt;"")+--(Raw_Incidents!I12&lt;&gt;"")+Z12+AA12+--(Raw_Incidents!AI12&lt;&gt;"")+--(Raw_Incidents!AN12&lt;&gt;"")+--(F12&lt;&gt;""))/15*100,0)</f>
        <v>100</v>
      </c>
      <c r="AE12" s="5">
        <f>--(Raw_Incidents!AZ12&lt;&gt;"")</f>
        <v>1</v>
      </c>
      <c r="AF12" s="5">
        <f t="shared" si="6"/>
        <v>1</v>
      </c>
      <c r="AG12" s="5" t="str">
        <f>Raw_Incidents!AN12</f>
        <v>Main engine lube-oil pressure alarm forced the bulk carrier to anchor inside Macajalar Bay.</v>
      </c>
      <c r="AH12" s="5" t="str">
        <f>Raw_Incidents!F12</f>
        <v>MV Pacific Dream</v>
      </c>
      <c r="AI12" s="5">
        <f>Raw_Incidents!S12</f>
        <v>8.5429999999999993</v>
      </c>
      <c r="AJ12" s="5">
        <f>Raw_Incidents!T12</f>
        <v>124.78400000000001</v>
      </c>
      <c r="AK12" s="5" t="str">
        <f>Raw_Incidents!AL12</f>
        <v>Web Portal</v>
      </c>
    </row>
    <row r="13" spans="1:37" x14ac:dyDescent="0.25">
      <c r="A13" s="5" t="str">
        <f>Raw_Incidents!A13</f>
        <v>INC-2025-000229</v>
      </c>
      <c r="B13" s="6">
        <f>Raw_Incidents!B13</f>
        <v>45768.295138888891</v>
      </c>
      <c r="C13" s="5" t="str">
        <f>Raw_Incidents!C13</f>
        <v>Flooding</v>
      </c>
      <c r="D13" s="5" t="str">
        <f>Raw_Incidents!E13</f>
        <v>Less Serious</v>
      </c>
      <c r="E13" s="5" t="str">
        <f>Raw_Incidents!H13</f>
        <v>Ferry</v>
      </c>
      <c r="F13" s="5" t="str">
        <f>Raw_Incidents!AK13</f>
        <v>PCG</v>
      </c>
      <c r="G13" s="5" t="str">
        <f>Raw_Incidents!AM13</f>
        <v>Verified</v>
      </c>
      <c r="H13" s="5" t="str">
        <f>Raw_Incidents!V13</f>
        <v>Iloilo</v>
      </c>
      <c r="I13" s="5" t="str">
        <f>IF(Raw_Incidents!W13&lt;&gt;"",Raw_Incidents!W13,Raw_Incidents!U13)</f>
        <v>Iloilo Strait</v>
      </c>
      <c r="J13" s="5" t="str">
        <f>IF(Raw_Incidents!X13&lt;&gt;"",Raw_Incidents!X13,IF(Raw_Incidents!AH13&lt;&gt;"",Raw_Incidents!AH13,IF(AND(Raw_Incidents!AF13&lt;&gt;"",Raw_Incidents!AG13&lt;&gt;""),Raw_Incidents!AF13&amp;" to "&amp;Raw_Incidents!AG13,"Corridor pending")))</f>
        <v>Iloilo-Guimaras Transit Lane</v>
      </c>
      <c r="K13" s="5" t="str">
        <f>IFERROR(INDEX(Lookups!$B$6:$B$19,MATCH(Raw_Incidents!V13,Lookups!$A$6:$A$19,0)),"National")</f>
        <v>Visayas</v>
      </c>
      <c r="L13" s="5" t="str">
        <f>Raw_Incidents!AA13</f>
        <v>Good</v>
      </c>
      <c r="M13" s="5" t="str">
        <f t="shared" si="0"/>
        <v>Apr 25</v>
      </c>
      <c r="N13" s="5" t="str">
        <f t="shared" si="1"/>
        <v>2025-04</v>
      </c>
      <c r="O13" s="5">
        <f t="shared" si="2"/>
        <v>2025</v>
      </c>
      <c r="P13" s="5" t="str">
        <f t="shared" si="3"/>
        <v>Transition Season</v>
      </c>
      <c r="Q13" s="5" t="str">
        <f>IF(Raw_Incidents!AR13&lt;&gt;"",Raw_Incidents!AR13,IFERROR(INDEX(Lookups!$E$6:$E$15,MATCH(C13,Lookups!$D$6:$D$15,0)),"Under Investigation"))</f>
        <v>Mechanical Failure</v>
      </c>
      <c r="R13" s="5" t="str">
        <f>IF(Raw_Incidents!AQ13&lt;&gt;"",Raw_Incidents!AQ13,IFERROR(INDEX(Lookups!$H$6:$H$10,MATCH(Q13,Lookups!$G$6:$G$10,0)),""))</f>
        <v>Communication Failure</v>
      </c>
      <c r="S13" s="5" t="str">
        <f>IF(Raw_Incidents!AI13&lt;&gt;"",Raw_Incidents!AI13,IFERROR(INDEX(Lookups!$K$6:$K$12,MATCH(E13,Lookups!$J$6:$J$12,0)),"General Cargo"))</f>
        <v>Passengers</v>
      </c>
      <c r="T13" s="9">
        <f ca="1">MAX(YEAR(TODAY())-IF(Raw_Incidents!R13&lt;&gt;"",Raw_Incidents!R13,IFERROR(INDEX(Lookups!$N$6:$N$12,MATCH(E13,Lookups!$M$6:$M$12,0)),2010)),0)</f>
        <v>12</v>
      </c>
      <c r="U13" s="9">
        <f>Raw_Incidents!AW13</f>
        <v>0</v>
      </c>
      <c r="V13" s="9">
        <f>Raw_Incidents!AX13</f>
        <v>0</v>
      </c>
      <c r="W13" s="9">
        <f t="shared" si="4"/>
        <v>0</v>
      </c>
      <c r="X13" s="9">
        <f>IFERROR(INDEX(Lookups!$Q$6:$Q$9,MATCH(D13,Lookups!$P$6:$P$9,0)),1)</f>
        <v>2</v>
      </c>
      <c r="Y13" s="9">
        <f t="shared" si="5"/>
        <v>2</v>
      </c>
      <c r="Z13" s="5">
        <f>--OR(Raw_Incidents!J13&lt;&gt;"",Raw_Incidents!K13&lt;&gt;"")</f>
        <v>1</v>
      </c>
      <c r="AA13" s="5">
        <f>--AND(Raw_Incidents!AF13&lt;&gt;"",Raw_Incidents!AG13&lt;&gt;"")</f>
        <v>1</v>
      </c>
      <c r="AB13" s="5">
        <f>--AND(ISNUMBER(Raw_Incidents!Y13),ISNUMBER(Raw_Incidents!Z13),Raw_Incidents!AA13&lt;&gt;"")</f>
        <v>1</v>
      </c>
      <c r="AC13" s="5" t="str">
        <f>IF(Raw_Incidents!AH13&lt;&gt;"",Raw_Incidents!AH13,IF(AND(Raw_Incidents!AF13&lt;&gt;"",Raw_Incidents!AG13&lt;&gt;""),Raw_Incidents!AF13&amp;" to "&amp;Raw_Incidents!AG13,"Route pending"))</f>
        <v>Panay-Negros coastal ferry lane</v>
      </c>
      <c r="AD13" s="10">
        <f>ROUND((--(B13&lt;&gt;"")+--(C13&lt;&gt;"")+--(D13&lt;&gt;"")+--(Raw_Incidents!S13&lt;&gt;"")+--(Raw_Incidents!T13&lt;&gt;"")+--(Raw_Incidents!U13&lt;&gt;"")+--(H13&lt;&gt;"")+AB13+--(Raw_Incidents!F13&lt;&gt;"")+--(Raw_Incidents!I13&lt;&gt;"")+Z13+AA13+--(Raw_Incidents!AI13&lt;&gt;"")+--(Raw_Incidents!AN13&lt;&gt;"")+--(F13&lt;&gt;""))/15*100,0)</f>
        <v>100</v>
      </c>
      <c r="AE13" s="5">
        <f>--(Raw_Incidents!AZ13&lt;&gt;"")</f>
        <v>1</v>
      </c>
      <c r="AF13" s="5">
        <f t="shared" si="6"/>
        <v>1</v>
      </c>
      <c r="AG13" s="5" t="str">
        <f>Raw_Incidents!AN13</f>
        <v>Water ingress was detected in a lower void space while the RoRo ferry transited Iloilo Strait.</v>
      </c>
      <c r="AH13" s="5" t="str">
        <f>Raw_Incidents!F13</f>
        <v>MV Island Hopper</v>
      </c>
      <c r="AI13" s="5">
        <f>Raw_Incidents!S13</f>
        <v>10.678000000000001</v>
      </c>
      <c r="AJ13" s="5">
        <f>Raw_Incidents!T13</f>
        <v>122.578</v>
      </c>
      <c r="AK13" s="5" t="str">
        <f>Raw_Incidents!AL13</f>
        <v>Mobile App</v>
      </c>
    </row>
    <row r="14" spans="1:37" x14ac:dyDescent="0.25">
      <c r="A14" s="5" t="str">
        <f>Raw_Incidents!A14</f>
        <v>INC-2025-000246</v>
      </c>
      <c r="B14" s="6">
        <f>Raw_Incidents!B14</f>
        <v>45785.697916666657</v>
      </c>
      <c r="C14" s="5" t="str">
        <f>Raw_Incidents!C14</f>
        <v>Collision</v>
      </c>
      <c r="D14" s="5" t="str">
        <f>Raw_Incidents!E14</f>
        <v>Near Miss</v>
      </c>
      <c r="E14" s="5" t="str">
        <f>Raw_Incidents!H14</f>
        <v>Container Ship</v>
      </c>
      <c r="F14" s="5" t="str">
        <f>Raw_Incidents!AK14</f>
        <v>MARINA</v>
      </c>
      <c r="G14" s="5" t="str">
        <f>Raw_Incidents!AM14</f>
        <v>Under Review</v>
      </c>
      <c r="H14" s="5" t="str">
        <f>Raw_Incidents!V14</f>
        <v>Metro Manila</v>
      </c>
      <c r="I14" s="5" t="str">
        <f>IF(Raw_Incidents!W14&lt;&gt;"",Raw_Incidents!W14,Raw_Incidents!U14)</f>
        <v>Manila Bay</v>
      </c>
      <c r="J14" s="5" t="str">
        <f>IF(Raw_Incidents!X14&lt;&gt;"",Raw_Incidents!X14,IF(Raw_Incidents!AH14&lt;&gt;"",Raw_Incidents!AH14,IF(AND(Raw_Incidents!AF14&lt;&gt;"",Raw_Incidents!AG14&lt;&gt;""),Raw_Incidents!AF14&amp;" to "&amp;Raw_Incidents!AG14,"Corridor pending")))</f>
        <v>Manila Bay South Approach</v>
      </c>
      <c r="K14" s="5" t="str">
        <f>IFERROR(INDEX(Lookups!$B$6:$B$19,MATCH(Raw_Incidents!V14,Lookups!$A$6:$A$19,0)),"National")</f>
        <v>Luzon</v>
      </c>
      <c r="L14" s="5" t="str">
        <f>Raw_Incidents!AA14</f>
        <v>Moderate</v>
      </c>
      <c r="M14" s="5" t="str">
        <f t="shared" si="0"/>
        <v>May 25</v>
      </c>
      <c r="N14" s="5" t="str">
        <f t="shared" si="1"/>
        <v>2025-05</v>
      </c>
      <c r="O14" s="5">
        <f t="shared" si="2"/>
        <v>2025</v>
      </c>
      <c r="P14" s="5" t="str">
        <f t="shared" si="3"/>
        <v>Transition Season</v>
      </c>
      <c r="Q14" s="5" t="str">
        <f>IF(Raw_Incidents!AR14&lt;&gt;"",Raw_Incidents!AR14,IFERROR(INDEX(Lookups!$E$6:$E$15,MATCH(C14,Lookups!$D$6:$D$15,0)),"Under Investigation"))</f>
        <v>Navigation Error</v>
      </c>
      <c r="R14" s="5" t="str">
        <f>IF(Raw_Incidents!AQ14&lt;&gt;"",Raw_Incidents!AQ14,IFERROR(INDEX(Lookups!$H$6:$H$10,MATCH(Q14,Lookups!$G$6:$G$10,0)),""))</f>
        <v>Violation of Procedures | Communication Failure</v>
      </c>
      <c r="S14" s="5" t="str">
        <f>IF(Raw_Incidents!AI14&lt;&gt;"",Raw_Incidents!AI14,IFERROR(INDEX(Lookups!$K$6:$K$12,MATCH(E14,Lookups!$J$6:$J$12,0)),"General Cargo"))</f>
        <v>Containers</v>
      </c>
      <c r="T14" s="9">
        <f ca="1">MAX(YEAR(TODAY())-IF(Raw_Incidents!R14&lt;&gt;"",Raw_Incidents!R14,IFERROR(INDEX(Lookups!$N$6:$N$12,MATCH(E14,Lookups!$M$6:$M$12,0)),2010)),0)</f>
        <v>16</v>
      </c>
      <c r="U14" s="9">
        <f>Raw_Incidents!AW14</f>
        <v>0</v>
      </c>
      <c r="V14" s="9">
        <f>Raw_Incidents!AX14</f>
        <v>0</v>
      </c>
      <c r="W14" s="9">
        <f t="shared" si="4"/>
        <v>0</v>
      </c>
      <c r="X14" s="9">
        <f>IFERROR(INDEX(Lookups!$Q$6:$Q$9,MATCH(D14,Lookups!$P$6:$P$9,0)),1)</f>
        <v>1</v>
      </c>
      <c r="Y14" s="9">
        <f t="shared" si="5"/>
        <v>1</v>
      </c>
      <c r="Z14" s="5">
        <f>--OR(Raw_Incidents!J14&lt;&gt;"",Raw_Incidents!K14&lt;&gt;"")</f>
        <v>1</v>
      </c>
      <c r="AA14" s="5">
        <f>--AND(Raw_Incidents!AF14&lt;&gt;"",Raw_Incidents!AG14&lt;&gt;"")</f>
        <v>1</v>
      </c>
      <c r="AB14" s="5">
        <f>--AND(ISNUMBER(Raw_Incidents!Y14),ISNUMBER(Raw_Incidents!Z14),Raw_Incidents!AA14&lt;&gt;"")</f>
        <v>1</v>
      </c>
      <c r="AC14" s="5" t="str">
        <f>IF(Raw_Incidents!AH14&lt;&gt;"",Raw_Incidents!AH14,IF(AND(Raw_Incidents!AF14&lt;&gt;"",Raw_Incidents!AG14&lt;&gt;""),Raw_Incidents!AF14&amp;" to "&amp;Raw_Incidents!AG14,"Route pending"))</f>
        <v>Batangas-Manila gateway lane</v>
      </c>
      <c r="AD14" s="10">
        <f>ROUND((--(B14&lt;&gt;"")+--(C14&lt;&gt;"")+--(D14&lt;&gt;"")+--(Raw_Incidents!S14&lt;&gt;"")+--(Raw_Incidents!T14&lt;&gt;"")+--(Raw_Incidents!U14&lt;&gt;"")+--(H14&lt;&gt;"")+AB14+--(Raw_Incidents!F14&lt;&gt;"")+--(Raw_Incidents!I14&lt;&gt;"")+Z14+AA14+--(Raw_Incidents!AI14&lt;&gt;"")+--(Raw_Incidents!AN14&lt;&gt;"")+--(F14&lt;&gt;""))/15*100,0)</f>
        <v>100</v>
      </c>
      <c r="AE14" s="5">
        <f>--(Raw_Incidents!AZ14&lt;&gt;"")</f>
        <v>1</v>
      </c>
      <c r="AF14" s="5">
        <f t="shared" si="6"/>
        <v>0</v>
      </c>
      <c r="AG14" s="5" t="str">
        <f>Raw_Incidents!AN14</f>
        <v>Container ship narrowly avoided contact with a coastal tanker during a crossing situation in southern Manila Bay.</v>
      </c>
      <c r="AH14" s="5" t="str">
        <f>Raw_Incidents!F14</f>
        <v>MV Cargo Link</v>
      </c>
      <c r="AI14" s="5">
        <f>Raw_Incidents!S14</f>
        <v>14.37</v>
      </c>
      <c r="AJ14" s="5">
        <f>Raw_Incidents!T14</f>
        <v>120.873</v>
      </c>
      <c r="AK14" s="5" t="str">
        <f>Raw_Incidents!AL14</f>
        <v>Web Portal</v>
      </c>
    </row>
    <row r="15" spans="1:37" x14ac:dyDescent="0.25">
      <c r="A15" s="5" t="str">
        <f>Raw_Incidents!A15</f>
        <v>INC-2025-000264</v>
      </c>
      <c r="B15" s="6">
        <f>Raw_Incidents!B15</f>
        <v>45803.131944444453</v>
      </c>
      <c r="C15" s="5" t="str">
        <f>Raw_Incidents!C15</f>
        <v>Grounding</v>
      </c>
      <c r="D15" s="5" t="str">
        <f>Raw_Incidents!E15</f>
        <v>Less Serious</v>
      </c>
      <c r="E15" s="5" t="str">
        <f>Raw_Incidents!H15</f>
        <v>General Cargo</v>
      </c>
      <c r="F15" s="5" t="str">
        <f>Raw_Incidents!AK15</f>
        <v>PCG</v>
      </c>
      <c r="G15" s="5" t="str">
        <f>Raw_Incidents!AM15</f>
        <v>Verified</v>
      </c>
      <c r="H15" s="5" t="str">
        <f>Raw_Incidents!V15</f>
        <v>Batangas</v>
      </c>
      <c r="I15" s="5" t="str">
        <f>IF(Raw_Incidents!W15&lt;&gt;"",Raw_Incidents!W15,Raw_Incidents!U15)</f>
        <v>Verde Island Passage</v>
      </c>
      <c r="J15" s="5" t="str">
        <f>IF(Raw_Incidents!X15&lt;&gt;"",Raw_Incidents!X15,IF(Raw_Incidents!AH15&lt;&gt;"",Raw_Incidents!AH15,IF(AND(Raw_Incidents!AF15&lt;&gt;"",Raw_Incidents!AG15&lt;&gt;""),Raw_Incidents!AF15&amp;" to "&amp;Raw_Incidents!AG15,"Corridor pending")))</f>
        <v>Batangas-Calapan Transit Lane</v>
      </c>
      <c r="K15" s="5" t="str">
        <f>IFERROR(INDEX(Lookups!$B$6:$B$19,MATCH(Raw_Incidents!V15,Lookups!$A$6:$A$19,0)),"National")</f>
        <v>Luzon</v>
      </c>
      <c r="L15" s="5" t="str">
        <f>Raw_Incidents!AA15</f>
        <v>Good</v>
      </c>
      <c r="M15" s="5" t="str">
        <f t="shared" si="0"/>
        <v>May 25</v>
      </c>
      <c r="N15" s="5" t="str">
        <f t="shared" si="1"/>
        <v>2025-05</v>
      </c>
      <c r="O15" s="5">
        <f t="shared" si="2"/>
        <v>2025</v>
      </c>
      <c r="P15" s="5" t="str">
        <f t="shared" si="3"/>
        <v>Transition Season</v>
      </c>
      <c r="Q15" s="5" t="str">
        <f>IF(Raw_Incidents!AR15&lt;&gt;"",Raw_Incidents!AR15,IFERROR(INDEX(Lookups!$E$6:$E$15,MATCH(C15,Lookups!$D$6:$D$15,0)),"Under Investigation"))</f>
        <v>Navigation Error</v>
      </c>
      <c r="R15" s="5" t="str">
        <f>IF(Raw_Incidents!AQ15&lt;&gt;"",Raw_Incidents!AQ15,IFERROR(INDEX(Lookups!$H$6:$H$10,MATCH(Q15,Lookups!$G$6:$G$10,0)),""))</f>
        <v>Violation of Procedures</v>
      </c>
      <c r="S15" s="5" t="str">
        <f>IF(Raw_Incidents!AI15&lt;&gt;"",Raw_Incidents!AI15,IFERROR(INDEX(Lookups!$K$6:$K$12,MATCH(E15,Lookups!$J$6:$J$12,0)),"General Cargo"))</f>
        <v>General Cargo</v>
      </c>
      <c r="T15" s="9">
        <f ca="1">MAX(YEAR(TODAY())-IF(Raw_Incidents!R15&lt;&gt;"",Raw_Incidents!R15,IFERROR(INDEX(Lookups!$N$6:$N$12,MATCH(E15,Lookups!$M$6:$M$12,0)),2010)),0)</f>
        <v>11</v>
      </c>
      <c r="U15" s="9">
        <f>Raw_Incidents!AW15</f>
        <v>0</v>
      </c>
      <c r="V15" s="9">
        <f>Raw_Incidents!AX15</f>
        <v>1</v>
      </c>
      <c r="W15" s="9">
        <f t="shared" si="4"/>
        <v>1</v>
      </c>
      <c r="X15" s="9">
        <f>IFERROR(INDEX(Lookups!$Q$6:$Q$9,MATCH(D15,Lookups!$P$6:$P$9,0)),1)</f>
        <v>2</v>
      </c>
      <c r="Y15" s="9">
        <f t="shared" si="5"/>
        <v>2</v>
      </c>
      <c r="Z15" s="5">
        <f>--OR(Raw_Incidents!J15&lt;&gt;"",Raw_Incidents!K15&lt;&gt;"")</f>
        <v>1</v>
      </c>
      <c r="AA15" s="5">
        <f>--AND(Raw_Incidents!AF15&lt;&gt;"",Raw_Incidents!AG15&lt;&gt;"")</f>
        <v>1</v>
      </c>
      <c r="AB15" s="5">
        <f>--AND(ISNUMBER(Raw_Incidents!Y15),ISNUMBER(Raw_Incidents!Z15),Raw_Incidents!AA15&lt;&gt;"")</f>
        <v>1</v>
      </c>
      <c r="AC15" s="5" t="str">
        <f>IF(Raw_Incidents!AH15&lt;&gt;"",Raw_Incidents!AH15,IF(AND(Raw_Incidents!AF15&lt;&gt;"",Raw_Incidents!AG15&lt;&gt;""),Raw_Incidents!AF15&amp;" to "&amp;Raw_Incidents!AG15,"Route pending"))</f>
        <v>Verde Island Passage east-west corridor</v>
      </c>
      <c r="AD15" s="10">
        <f>ROUND((--(B15&lt;&gt;"")+--(C15&lt;&gt;"")+--(D15&lt;&gt;"")+--(Raw_Incidents!S15&lt;&gt;"")+--(Raw_Incidents!T15&lt;&gt;"")+--(Raw_Incidents!U15&lt;&gt;"")+--(H15&lt;&gt;"")+AB15+--(Raw_Incidents!F15&lt;&gt;"")+--(Raw_Incidents!I15&lt;&gt;"")+Z15+AA15+--(Raw_Incidents!AI15&lt;&gt;"")+--(Raw_Incidents!AN15&lt;&gt;"")+--(F15&lt;&gt;""))/15*100,0)</f>
        <v>100</v>
      </c>
      <c r="AE15" s="5">
        <f>--(Raw_Incidents!AZ15&lt;&gt;"")</f>
        <v>1</v>
      </c>
      <c r="AF15" s="5">
        <f t="shared" si="6"/>
        <v>1</v>
      </c>
      <c r="AG15" s="5" t="str">
        <f>Raw_Incidents!AN15</f>
        <v>General cargo vessel touched bottom on the edge of a reef patch while crossing the Verde Island Passage.</v>
      </c>
      <c r="AH15" s="5" t="str">
        <f>Raw_Incidents!F15</f>
        <v>MV Verde Logistics</v>
      </c>
      <c r="AI15" s="5">
        <f>Raw_Incidents!S15</f>
        <v>13.787000000000001</v>
      </c>
      <c r="AJ15" s="5">
        <f>Raw_Incidents!T15</f>
        <v>121.04</v>
      </c>
      <c r="AK15" s="5" t="str">
        <f>Raw_Incidents!AL15</f>
        <v>Inter-agency Intake</v>
      </c>
    </row>
    <row r="16" spans="1:37" x14ac:dyDescent="0.25">
      <c r="A16" s="5" t="str">
        <f>Raw_Incidents!A16</f>
        <v>INC-2025-000281</v>
      </c>
      <c r="B16" s="6">
        <f>Raw_Incidents!B16</f>
        <v>45819.402777777781</v>
      </c>
      <c r="C16" s="5" t="str">
        <f>Raw_Incidents!C16</f>
        <v>Collision</v>
      </c>
      <c r="D16" s="5" t="str">
        <f>Raw_Incidents!E16</f>
        <v>Serious</v>
      </c>
      <c r="E16" s="5" t="str">
        <f>Raw_Incidents!H16</f>
        <v>Ferry</v>
      </c>
      <c r="F16" s="5" t="str">
        <f>Raw_Incidents!AK16</f>
        <v>PCG</v>
      </c>
      <c r="G16" s="5" t="str">
        <f>Raw_Incidents!AM16</f>
        <v>Under Review</v>
      </c>
      <c r="H16" s="5" t="str">
        <f>Raw_Incidents!V16</f>
        <v>Cebu</v>
      </c>
      <c r="I16" s="5" t="str">
        <f>IF(Raw_Incidents!W16&lt;&gt;"",Raw_Incidents!W16,Raw_Incidents!U16)</f>
        <v>Cebu Strait</v>
      </c>
      <c r="J16" s="5" t="str">
        <f>IF(Raw_Incidents!X16&lt;&gt;"",Raw_Incidents!X16,IF(Raw_Incidents!AH16&lt;&gt;"",Raw_Incidents!AH16,IF(AND(Raw_Incidents!AF16&lt;&gt;"",Raw_Incidents!AG16&lt;&gt;""),Raw_Incidents!AF16&amp;" to "&amp;Raw_Incidents!AG16,"Corridor pending")))</f>
        <v>Cebu-Mactan Southern Approach</v>
      </c>
      <c r="K16" s="5" t="str">
        <f>IFERROR(INDEX(Lookups!$B$6:$B$19,MATCH(Raw_Incidents!V16,Lookups!$A$6:$A$19,0)),"National")</f>
        <v>Visayas</v>
      </c>
      <c r="L16" s="5" t="str">
        <f>Raw_Incidents!AA16</f>
        <v>Moderate</v>
      </c>
      <c r="M16" s="5" t="str">
        <f t="shared" si="0"/>
        <v>Jun 25</v>
      </c>
      <c r="N16" s="5" t="str">
        <f t="shared" si="1"/>
        <v>2025-06</v>
      </c>
      <c r="O16" s="5">
        <f t="shared" si="2"/>
        <v>2025</v>
      </c>
      <c r="P16" s="5" t="str">
        <f t="shared" si="3"/>
        <v>Southwest Monsoon</v>
      </c>
      <c r="Q16" s="5" t="str">
        <f>IF(Raw_Incidents!AR16&lt;&gt;"",Raw_Incidents!AR16,IFERROR(INDEX(Lookups!$E$6:$E$15,MATCH(C16,Lookups!$D$6:$D$15,0)),"Under Investigation"))</f>
        <v>Navigation Error</v>
      </c>
      <c r="R16" s="5" t="str">
        <f>IF(Raw_Incidents!AQ16&lt;&gt;"",Raw_Incidents!AQ16,IFERROR(INDEX(Lookups!$H$6:$H$10,MATCH(Q16,Lookups!$G$6:$G$10,0)),""))</f>
        <v>Communication Failure</v>
      </c>
      <c r="S16" s="5" t="str">
        <f>IF(Raw_Incidents!AI16&lt;&gt;"",Raw_Incidents!AI16,IFERROR(INDEX(Lookups!$K$6:$K$12,MATCH(E16,Lookups!$J$6:$J$12,0)),"General Cargo"))</f>
        <v>Passengers</v>
      </c>
      <c r="T16" s="9">
        <f ca="1">MAX(YEAR(TODAY())-IF(Raw_Incidents!R16&lt;&gt;"",Raw_Incidents!R16,IFERROR(INDEX(Lookups!$N$6:$N$12,MATCH(E16,Lookups!$M$6:$M$12,0)),2010)),0)</f>
        <v>16</v>
      </c>
      <c r="U16" s="9">
        <f>Raw_Incidents!AW16</f>
        <v>0</v>
      </c>
      <c r="V16" s="9">
        <f>Raw_Incidents!AX16</f>
        <v>5</v>
      </c>
      <c r="W16" s="9">
        <f t="shared" si="4"/>
        <v>5</v>
      </c>
      <c r="X16" s="9">
        <f>IFERROR(INDEX(Lookups!$Q$6:$Q$9,MATCH(D16,Lookups!$P$6:$P$9,0)),1)</f>
        <v>3</v>
      </c>
      <c r="Y16" s="9">
        <f t="shared" si="5"/>
        <v>15</v>
      </c>
      <c r="Z16" s="5">
        <f>--OR(Raw_Incidents!J16&lt;&gt;"",Raw_Incidents!K16&lt;&gt;"")</f>
        <v>1</v>
      </c>
      <c r="AA16" s="5">
        <f>--AND(Raw_Incidents!AF16&lt;&gt;"",Raw_Incidents!AG16&lt;&gt;"")</f>
        <v>1</v>
      </c>
      <c r="AB16" s="5">
        <f>--AND(ISNUMBER(Raw_Incidents!Y16),ISNUMBER(Raw_Incidents!Z16),Raw_Incidents!AA16&lt;&gt;"")</f>
        <v>1</v>
      </c>
      <c r="AC16" s="5" t="str">
        <f>IF(Raw_Incidents!AH16&lt;&gt;"",Raw_Incidents!AH16,IF(AND(Raw_Incidents!AF16&lt;&gt;"",Raw_Incidents!AG16&lt;&gt;""),Raw_Incidents!AF16&amp;" to "&amp;Raw_Incidents!AG16,"Route pending"))</f>
        <v>Cebu Strait domestic passenger corridor</v>
      </c>
      <c r="AD16" s="10">
        <f>ROUND((--(B16&lt;&gt;"")+--(C16&lt;&gt;"")+--(D16&lt;&gt;"")+--(Raw_Incidents!S16&lt;&gt;"")+--(Raw_Incidents!T16&lt;&gt;"")+--(Raw_Incidents!U16&lt;&gt;"")+--(H16&lt;&gt;"")+AB16+--(Raw_Incidents!F16&lt;&gt;"")+--(Raw_Incidents!I16&lt;&gt;"")+Z16+AA16+--(Raw_Incidents!AI16&lt;&gt;"")+--(Raw_Incidents!AN16&lt;&gt;"")+--(F16&lt;&gt;""))/15*100,0)</f>
        <v>100</v>
      </c>
      <c r="AE16" s="5">
        <f>--(Raw_Incidents!AZ16&lt;&gt;"")</f>
        <v>1</v>
      </c>
      <c r="AF16" s="5">
        <f t="shared" si="6"/>
        <v>0</v>
      </c>
      <c r="AG16" s="5" t="str">
        <f>Raw_Incidents!AN16</f>
        <v>Ferry struck a fixed mooring dolphin while approaching Cebu under a crowded berthing sequence.</v>
      </c>
      <c r="AH16" s="5" t="str">
        <f>Raw_Incidents!F16</f>
        <v>MV SuperFerry 12</v>
      </c>
      <c r="AI16" s="5">
        <f>Raw_Incidents!S16</f>
        <v>10.207000000000001</v>
      </c>
      <c r="AJ16" s="5">
        <f>Raw_Incidents!T16</f>
        <v>123.955</v>
      </c>
      <c r="AK16" s="5" t="str">
        <f>Raw_Incidents!AL16</f>
        <v>Mobile App</v>
      </c>
    </row>
    <row r="17" spans="1:37" x14ac:dyDescent="0.25">
      <c r="A17" s="5" t="str">
        <f>Raw_Incidents!A17</f>
        <v>INC-2025-000295</v>
      </c>
      <c r="B17" s="6">
        <f>Raw_Incidents!B17</f>
        <v>45837.591666666667</v>
      </c>
      <c r="C17" s="5" t="str">
        <f>Raw_Incidents!C17</f>
        <v>Flooding</v>
      </c>
      <c r="D17" s="5" t="str">
        <f>Raw_Incidents!E17</f>
        <v>Serious</v>
      </c>
      <c r="E17" s="5" t="str">
        <f>Raw_Incidents!H17</f>
        <v>Ferry</v>
      </c>
      <c r="F17" s="5" t="str">
        <f>Raw_Incidents!AK17</f>
        <v>PCG</v>
      </c>
      <c r="G17" s="5" t="str">
        <f>Raw_Incidents!AM17</f>
        <v>Verified</v>
      </c>
      <c r="H17" s="5" t="str">
        <f>Raw_Incidents!V17</f>
        <v>Bohol</v>
      </c>
      <c r="I17" s="5" t="str">
        <f>IF(Raw_Incidents!W17&lt;&gt;"",Raw_Incidents!W17,Raw_Incidents!U17)</f>
        <v>Bohol Sea</v>
      </c>
      <c r="J17" s="5" t="str">
        <f>IF(Raw_Incidents!X17&lt;&gt;"",Raw_Incidents!X17,IF(Raw_Incidents!AH17&lt;&gt;"",Raw_Incidents!AH17,IF(AND(Raw_Incidents!AF17&lt;&gt;"",Raw_Incidents!AG17&lt;&gt;""),Raw_Incidents!AF17&amp;" to "&amp;Raw_Incidents!AG17,"Corridor pending")))</f>
        <v>Cebu-Bohol Passenger Corridor</v>
      </c>
      <c r="K17" s="5" t="str">
        <f>IFERROR(INDEX(Lookups!$B$6:$B$19,MATCH(Raw_Incidents!V17,Lookups!$A$6:$A$19,0)),"National")</f>
        <v>Visayas</v>
      </c>
      <c r="L17" s="5" t="str">
        <f>Raw_Incidents!AA17</f>
        <v>Moderate</v>
      </c>
      <c r="M17" s="5" t="str">
        <f t="shared" si="0"/>
        <v>Jun 25</v>
      </c>
      <c r="N17" s="5" t="str">
        <f t="shared" si="1"/>
        <v>2025-06</v>
      </c>
      <c r="O17" s="5">
        <f t="shared" si="2"/>
        <v>2025</v>
      </c>
      <c r="P17" s="5" t="str">
        <f t="shared" si="3"/>
        <v>Southwest Monsoon</v>
      </c>
      <c r="Q17" s="5" t="str">
        <f>IF(Raw_Incidents!AR17&lt;&gt;"",Raw_Incidents!AR17,IFERROR(INDEX(Lookups!$E$6:$E$15,MATCH(C17,Lookups!$D$6:$D$15,0)),"Under Investigation"))</f>
        <v>Mechanical Failure</v>
      </c>
      <c r="R17" s="5" t="str">
        <f>IF(Raw_Incidents!AQ17&lt;&gt;"",Raw_Incidents!AQ17,IFERROR(INDEX(Lookups!$H$6:$H$10,MATCH(Q17,Lookups!$G$6:$G$10,0)),""))</f>
        <v>Violation of Procedures</v>
      </c>
      <c r="S17" s="5" t="str">
        <f>IF(Raw_Incidents!AI17&lt;&gt;"",Raw_Incidents!AI17,IFERROR(INDEX(Lookups!$K$6:$K$12,MATCH(E17,Lookups!$J$6:$J$12,0)),"General Cargo"))</f>
        <v>Passengers</v>
      </c>
      <c r="T17" s="9">
        <f ca="1">MAX(YEAR(TODAY())-IF(Raw_Incidents!R17&lt;&gt;"",Raw_Incidents!R17,IFERROR(INDEX(Lookups!$N$6:$N$12,MATCH(E17,Lookups!$M$6:$M$12,0)),2010)),0)</f>
        <v>12</v>
      </c>
      <c r="U17" s="9">
        <f>Raw_Incidents!AW17</f>
        <v>0</v>
      </c>
      <c r="V17" s="9">
        <f>Raw_Incidents!AX17</f>
        <v>1</v>
      </c>
      <c r="W17" s="9">
        <f t="shared" si="4"/>
        <v>1</v>
      </c>
      <c r="X17" s="9">
        <f>IFERROR(INDEX(Lookups!$Q$6:$Q$9,MATCH(D17,Lookups!$P$6:$P$9,0)),1)</f>
        <v>3</v>
      </c>
      <c r="Y17" s="9">
        <f t="shared" si="5"/>
        <v>3</v>
      </c>
      <c r="Z17" s="5">
        <f>--OR(Raw_Incidents!J17&lt;&gt;"",Raw_Incidents!K17&lt;&gt;"")</f>
        <v>1</v>
      </c>
      <c r="AA17" s="5">
        <f>--AND(Raw_Incidents!AF17&lt;&gt;"",Raw_Incidents!AG17&lt;&gt;"")</f>
        <v>1</v>
      </c>
      <c r="AB17" s="5">
        <f>--AND(ISNUMBER(Raw_Incidents!Y17),ISNUMBER(Raw_Incidents!Z17),Raw_Incidents!AA17&lt;&gt;"")</f>
        <v>1</v>
      </c>
      <c r="AC17" s="5" t="str">
        <f>IF(Raw_Incidents!AH17&lt;&gt;"",Raw_Incidents!AH17,IF(AND(Raw_Incidents!AF17&lt;&gt;"",Raw_Incidents!AG17&lt;&gt;""),Raw_Incidents!AF17&amp;" to "&amp;Raw_Incidents!AG17,"Route pending"))</f>
        <v>Cebu-Tagbilaran inter-island service lane</v>
      </c>
      <c r="AD17" s="10">
        <f>ROUND((--(B17&lt;&gt;"")+--(C17&lt;&gt;"")+--(D17&lt;&gt;"")+--(Raw_Incidents!S17&lt;&gt;"")+--(Raw_Incidents!T17&lt;&gt;"")+--(Raw_Incidents!U17&lt;&gt;"")+--(H17&lt;&gt;"")+AB17+--(Raw_Incidents!F17&lt;&gt;"")+--(Raw_Incidents!I17&lt;&gt;"")+Z17+AA17+--(Raw_Incidents!AI17&lt;&gt;"")+--(Raw_Incidents!AN17&lt;&gt;"")+--(F17&lt;&gt;""))/15*100,0)</f>
        <v>100</v>
      </c>
      <c r="AE17" s="5">
        <f>--(Raw_Incidents!AZ17&lt;&gt;"")</f>
        <v>1</v>
      </c>
      <c r="AF17" s="5">
        <f t="shared" si="6"/>
        <v>1</v>
      </c>
      <c r="AG17" s="5" t="str">
        <f>Raw_Incidents!AN17</f>
        <v>RoRo ferry developed flooding in a vehicle deck compartment during a Bohol Sea crossing.</v>
      </c>
      <c r="AH17" s="5" t="str">
        <f>Raw_Incidents!F17</f>
        <v>MV Island Hopper</v>
      </c>
      <c r="AI17" s="5">
        <f>Raw_Incidents!S17</f>
        <v>9.7690000000000001</v>
      </c>
      <c r="AJ17" s="5">
        <f>Raw_Incidents!T17</f>
        <v>124.03100000000001</v>
      </c>
      <c r="AK17" s="5" t="str">
        <f>Raw_Incidents!AL17</f>
        <v>Email Intake</v>
      </c>
    </row>
    <row r="18" spans="1:37" x14ac:dyDescent="0.25">
      <c r="A18" s="5" t="str">
        <f>Raw_Incidents!A18</f>
        <v>INC-2025-000317</v>
      </c>
      <c r="B18" s="6">
        <f>Raw_Incidents!B18</f>
        <v>45852.961805555547</v>
      </c>
      <c r="C18" s="5" t="str">
        <f>Raw_Incidents!C18</f>
        <v>Collision</v>
      </c>
      <c r="D18" s="5" t="str">
        <f>Raw_Incidents!E18</f>
        <v>Serious</v>
      </c>
      <c r="E18" s="5" t="str">
        <f>Raw_Incidents!H18</f>
        <v>Oil Tanker</v>
      </c>
      <c r="F18" s="5" t="str">
        <f>Raw_Incidents!AK18</f>
        <v>MARINA</v>
      </c>
      <c r="G18" s="5" t="str">
        <f>Raw_Incidents!AM18</f>
        <v>Published</v>
      </c>
      <c r="H18" s="5" t="str">
        <f>Raw_Incidents!V18</f>
        <v>Southern Leyte</v>
      </c>
      <c r="I18" s="5" t="str">
        <f>IF(Raw_Incidents!W18&lt;&gt;"",Raw_Incidents!W18,Raw_Incidents!U18)</f>
        <v>Surigao Strait</v>
      </c>
      <c r="J18" s="5" t="str">
        <f>IF(Raw_Incidents!X18&lt;&gt;"",Raw_Incidents!X18,IF(Raw_Incidents!AH18&lt;&gt;"",Raw_Incidents!AH18,IF(AND(Raw_Incidents!AF18&lt;&gt;"",Raw_Incidents!AG18&lt;&gt;""),Raw_Incidents!AF18&amp;" to "&amp;Raw_Incidents!AG18,"Corridor pending")))</f>
        <v>Liloan-Surigao Crossing</v>
      </c>
      <c r="K18" s="5" t="str">
        <f>IFERROR(INDEX(Lookups!$B$6:$B$19,MATCH(Raw_Incidents!V18,Lookups!$A$6:$A$19,0)),"National")</f>
        <v>Visayas</v>
      </c>
      <c r="L18" s="5" t="str">
        <f>Raw_Incidents!AA18</f>
        <v>Poor</v>
      </c>
      <c r="M18" s="5" t="str">
        <f t="shared" si="0"/>
        <v>Jul 25</v>
      </c>
      <c r="N18" s="5" t="str">
        <f t="shared" si="1"/>
        <v>2025-07</v>
      </c>
      <c r="O18" s="5">
        <f t="shared" si="2"/>
        <v>2025</v>
      </c>
      <c r="P18" s="5" t="str">
        <f t="shared" si="3"/>
        <v>Southwest Monsoon</v>
      </c>
      <c r="Q18" s="5" t="str">
        <f>IF(Raw_Incidents!AR18&lt;&gt;"",Raw_Incidents!AR18,IFERROR(INDEX(Lookups!$E$6:$E$15,MATCH(C18,Lookups!$D$6:$D$15,0)),"Under Investigation"))</f>
        <v>Navigation Error</v>
      </c>
      <c r="R18" s="5" t="str">
        <f>IF(Raw_Incidents!AQ18&lt;&gt;"",Raw_Incidents!AQ18,IFERROR(INDEX(Lookups!$H$6:$H$10,MATCH(Q18,Lookups!$G$6:$G$10,0)),""))</f>
        <v>Communication Failure | Fatigue</v>
      </c>
      <c r="S18" s="5" t="str">
        <f>IF(Raw_Incidents!AI18&lt;&gt;"",Raw_Incidents!AI18,IFERROR(INDEX(Lookups!$K$6:$K$12,MATCH(E18,Lookups!$J$6:$J$12,0)),"General Cargo"))</f>
        <v>Fuel / Oil</v>
      </c>
      <c r="T18" s="9">
        <f ca="1">MAX(YEAR(TODAY())-IF(Raw_Incidents!R18&lt;&gt;"",Raw_Incidents!R18,IFERROR(INDEX(Lookups!$N$6:$N$12,MATCH(E18,Lookups!$M$6:$M$12,0)),2010)),0)</f>
        <v>14</v>
      </c>
      <c r="U18" s="9">
        <f>Raw_Incidents!AW18</f>
        <v>0</v>
      </c>
      <c r="V18" s="9">
        <f>Raw_Incidents!AX18</f>
        <v>2</v>
      </c>
      <c r="W18" s="9">
        <f t="shared" si="4"/>
        <v>2</v>
      </c>
      <c r="X18" s="9">
        <f>IFERROR(INDEX(Lookups!$Q$6:$Q$9,MATCH(D18,Lookups!$P$6:$P$9,0)),1)</f>
        <v>3</v>
      </c>
      <c r="Y18" s="9">
        <f t="shared" si="5"/>
        <v>6</v>
      </c>
      <c r="Z18" s="5">
        <f>--OR(Raw_Incidents!J18&lt;&gt;"",Raw_Incidents!K18&lt;&gt;"")</f>
        <v>1</v>
      </c>
      <c r="AA18" s="5">
        <f>--AND(Raw_Incidents!AF18&lt;&gt;"",Raw_Incidents!AG18&lt;&gt;"")</f>
        <v>1</v>
      </c>
      <c r="AB18" s="5">
        <f>--AND(ISNUMBER(Raw_Incidents!Y18),ISNUMBER(Raw_Incidents!Z18),Raw_Incidents!AA18&lt;&gt;"")</f>
        <v>1</v>
      </c>
      <c r="AC18" s="5" t="str">
        <f>IF(Raw_Incidents!AH18&lt;&gt;"",Raw_Incidents!AH18,IF(AND(Raw_Incidents!AF18&lt;&gt;"",Raw_Incidents!AG18&lt;&gt;""),Raw_Incidents!AF18&amp;" to "&amp;Raw_Incidents!AG18,"Route pending"))</f>
        <v>Southern Leyte-Surigao strait crossing lane</v>
      </c>
      <c r="AD18" s="10">
        <f>ROUND((--(B18&lt;&gt;"")+--(C18&lt;&gt;"")+--(D18&lt;&gt;"")+--(Raw_Incidents!S18&lt;&gt;"")+--(Raw_Incidents!T18&lt;&gt;"")+--(Raw_Incidents!U18&lt;&gt;"")+--(H18&lt;&gt;"")+AB18+--(Raw_Incidents!F18&lt;&gt;"")+--(Raw_Incidents!I18&lt;&gt;"")+Z18+AA18+--(Raw_Incidents!AI18&lt;&gt;"")+--(Raw_Incidents!AN18&lt;&gt;"")+--(F18&lt;&gt;""))/15*100,0)</f>
        <v>100</v>
      </c>
      <c r="AE18" s="5">
        <f>--(Raw_Incidents!AZ18&lt;&gt;"")</f>
        <v>1</v>
      </c>
      <c r="AF18" s="5">
        <f t="shared" si="6"/>
        <v>1</v>
      </c>
      <c r="AG18" s="5" t="str">
        <f>Raw_Incidents!AN18</f>
        <v>Tanker made glancing contact with a coastal cargo vessel in rain clutter inside Surigao Strait.</v>
      </c>
      <c r="AH18" s="5" t="str">
        <f>Raw_Incidents!F18</f>
        <v>MT Southern Crest</v>
      </c>
      <c r="AI18" s="5">
        <f>Raw_Incidents!S18</f>
        <v>10.989000000000001</v>
      </c>
      <c r="AJ18" s="5">
        <f>Raw_Incidents!T18</f>
        <v>125.54300000000001</v>
      </c>
      <c r="AK18" s="5" t="str">
        <f>Raw_Incidents!AL18</f>
        <v>Inter-agency Intake</v>
      </c>
    </row>
    <row r="19" spans="1:37" x14ac:dyDescent="0.25">
      <c r="A19" s="5" t="str">
        <f>Raw_Incidents!A19</f>
        <v>INC-2025-000336</v>
      </c>
      <c r="B19" s="6">
        <f>Raw_Incidents!B19</f>
        <v>45869.262499999997</v>
      </c>
      <c r="C19" s="5" t="str">
        <f>Raw_Incidents!C19</f>
        <v>Pollution Incident</v>
      </c>
      <c r="D19" s="5" t="str">
        <f>Raw_Incidents!E19</f>
        <v>Serious</v>
      </c>
      <c r="E19" s="5" t="str">
        <f>Raw_Incidents!H19</f>
        <v>Oil Tanker</v>
      </c>
      <c r="F19" s="5" t="str">
        <f>Raw_Incidents!AK19</f>
        <v>MARINA</v>
      </c>
      <c r="G19" s="5" t="str">
        <f>Raw_Incidents!AM19</f>
        <v>Published</v>
      </c>
      <c r="H19" s="5" t="str">
        <f>Raw_Incidents!V19</f>
        <v>Palawan</v>
      </c>
      <c r="I19" s="5" t="str">
        <f>IF(Raw_Incidents!W19&lt;&gt;"",Raw_Incidents!W19,Raw_Incidents!U19)</f>
        <v>Palawan Approaches</v>
      </c>
      <c r="J19" s="5" t="str">
        <f>IF(Raw_Incidents!X19&lt;&gt;"",Raw_Incidents!X19,IF(Raw_Incidents!AH19&lt;&gt;"",Raw_Incidents!AH19,IF(AND(Raw_Incidents!AF19&lt;&gt;"",Raw_Incidents!AG19&lt;&gt;""),Raw_Incidents!AF19&amp;" to "&amp;Raw_Incidents!AG19,"Corridor pending")))</f>
        <v>Puerto Princesa Western Approach</v>
      </c>
      <c r="K19" s="5" t="str">
        <f>IFERROR(INDEX(Lookups!$B$6:$B$19,MATCH(Raw_Incidents!V19,Lookups!$A$6:$A$19,0)),"National")</f>
        <v>Luzon</v>
      </c>
      <c r="L19" s="5" t="str">
        <f>Raw_Incidents!AA19</f>
        <v>Good</v>
      </c>
      <c r="M19" s="5" t="str">
        <f t="shared" si="0"/>
        <v>Jul 25</v>
      </c>
      <c r="N19" s="5" t="str">
        <f t="shared" si="1"/>
        <v>2025-07</v>
      </c>
      <c r="O19" s="5">
        <f t="shared" si="2"/>
        <v>2025</v>
      </c>
      <c r="P19" s="5" t="str">
        <f t="shared" si="3"/>
        <v>Southwest Monsoon</v>
      </c>
      <c r="Q19" s="5" t="str">
        <f>IF(Raw_Incidents!AR19&lt;&gt;"",Raw_Incidents!AR19,IFERROR(INDEX(Lookups!$E$6:$E$15,MATCH(C19,Lookups!$D$6:$D$15,0)),"Under Investigation"))</f>
        <v>Mechanical Failure</v>
      </c>
      <c r="R19" s="5" t="str">
        <f>IF(Raw_Incidents!AQ19&lt;&gt;"",Raw_Incidents!AQ19,IFERROR(INDEX(Lookups!$H$6:$H$10,MATCH(Q19,Lookups!$G$6:$G$10,0)),""))</f>
        <v>Inadequate Training</v>
      </c>
      <c r="S19" s="5" t="str">
        <f>IF(Raw_Incidents!AI19&lt;&gt;"",Raw_Incidents!AI19,IFERROR(INDEX(Lookups!$K$6:$K$12,MATCH(E19,Lookups!$J$6:$J$12,0)),"General Cargo"))</f>
        <v>Fuel / Oil</v>
      </c>
      <c r="T19" s="9">
        <f ca="1">MAX(YEAR(TODAY())-IF(Raw_Incidents!R19&lt;&gt;"",Raw_Incidents!R19,IFERROR(INDEX(Lookups!$N$6:$N$12,MATCH(E19,Lookups!$M$6:$M$12,0)),2010)),0)</f>
        <v>18</v>
      </c>
      <c r="U19" s="9">
        <f>Raw_Incidents!AW19</f>
        <v>0</v>
      </c>
      <c r="V19" s="9">
        <f>Raw_Incidents!AX19</f>
        <v>0</v>
      </c>
      <c r="W19" s="9">
        <f t="shared" si="4"/>
        <v>0</v>
      </c>
      <c r="X19" s="9">
        <f>IFERROR(INDEX(Lookups!$Q$6:$Q$9,MATCH(D19,Lookups!$P$6:$P$9,0)),1)</f>
        <v>3</v>
      </c>
      <c r="Y19" s="9">
        <f t="shared" si="5"/>
        <v>3</v>
      </c>
      <c r="Z19" s="5">
        <f>--OR(Raw_Incidents!J19&lt;&gt;"",Raw_Incidents!K19&lt;&gt;"")</f>
        <v>1</v>
      </c>
      <c r="AA19" s="5">
        <f>--AND(Raw_Incidents!AF19&lt;&gt;"",Raw_Incidents!AG19&lt;&gt;"")</f>
        <v>1</v>
      </c>
      <c r="AB19" s="5">
        <f>--AND(ISNUMBER(Raw_Incidents!Y19),ISNUMBER(Raw_Incidents!Z19),Raw_Incidents!AA19&lt;&gt;"")</f>
        <v>1</v>
      </c>
      <c r="AC19" s="5" t="str">
        <f>IF(Raw_Incidents!AH19&lt;&gt;"",Raw_Incidents!AH19,IF(AND(Raw_Incidents!AF19&lt;&gt;"",Raw_Incidents!AG19&lt;&gt;""),Raw_Incidents!AF19&amp;" to "&amp;Raw_Incidents!AG19,"Route pending"))</f>
        <v>West Palawan coastal approach lane</v>
      </c>
      <c r="AD19" s="10">
        <f>ROUND((--(B19&lt;&gt;"")+--(C19&lt;&gt;"")+--(D19&lt;&gt;"")+--(Raw_Incidents!S19&lt;&gt;"")+--(Raw_Incidents!T19&lt;&gt;"")+--(Raw_Incidents!U19&lt;&gt;"")+--(H19&lt;&gt;"")+AB19+--(Raw_Incidents!F19&lt;&gt;"")+--(Raw_Incidents!I19&lt;&gt;"")+Z19+AA19+--(Raw_Incidents!AI19&lt;&gt;"")+--(Raw_Incidents!AN19&lt;&gt;"")+--(F19&lt;&gt;""))/15*100,0)</f>
        <v>100</v>
      </c>
      <c r="AE19" s="5">
        <f>--(Raw_Incidents!AZ19&lt;&gt;"")</f>
        <v>1</v>
      </c>
      <c r="AF19" s="5">
        <f t="shared" si="6"/>
        <v>1</v>
      </c>
      <c r="AG19" s="5" t="str">
        <f>Raw_Incidents!AN19</f>
        <v>Minor sheen was observed astern of the tanker while inbound to Puerto Princesa anchorage.</v>
      </c>
      <c r="AH19" s="5" t="str">
        <f>Raw_Incidents!F19</f>
        <v>MT Ocean Star</v>
      </c>
      <c r="AI19" s="5">
        <f>Raw_Incidents!S19</f>
        <v>9.6539999999999999</v>
      </c>
      <c r="AJ19" s="5">
        <f>Raw_Incidents!T19</f>
        <v>118.535</v>
      </c>
      <c r="AK19" s="5" t="str">
        <f>Raw_Incidents!AL19</f>
        <v>Web Portal</v>
      </c>
    </row>
    <row r="20" spans="1:37" x14ac:dyDescent="0.25">
      <c r="A20" s="5" t="str">
        <f>Raw_Incidents!A20</f>
        <v>INC-2025-000352</v>
      </c>
      <c r="B20" s="6">
        <f>Raw_Incidents!B20</f>
        <v>45884.113888888889</v>
      </c>
      <c r="C20" s="5" t="str">
        <f>Raw_Incidents!C20</f>
        <v>Machinery Failure</v>
      </c>
      <c r="D20" s="5" t="str">
        <f>Raw_Incidents!E20</f>
        <v>Less Serious</v>
      </c>
      <c r="E20" s="5" t="str">
        <f>Raw_Incidents!H20</f>
        <v>Container Ship</v>
      </c>
      <c r="F20" s="5" t="str">
        <f>Raw_Incidents!AK20</f>
        <v>MARINA</v>
      </c>
      <c r="G20" s="5" t="str">
        <f>Raw_Incidents!AM20</f>
        <v>Verified</v>
      </c>
      <c r="H20" s="5" t="str">
        <f>Raw_Incidents!V20</f>
        <v>Davao del Sur</v>
      </c>
      <c r="I20" s="5" t="str">
        <f>IF(Raw_Incidents!W20&lt;&gt;"",Raw_Incidents!W20,Raw_Incidents!U20)</f>
        <v>Davao Gulf</v>
      </c>
      <c r="J20" s="5" t="str">
        <f>IF(Raw_Incidents!X20&lt;&gt;"",Raw_Incidents!X20,IF(Raw_Incidents!AH20&lt;&gt;"",Raw_Incidents!AH20,IF(AND(Raw_Incidents!AF20&lt;&gt;"",Raw_Incidents!AG20&lt;&gt;""),Raw_Incidents!AF20&amp;" to "&amp;Raw_Incidents!AG20,"Corridor pending")))</f>
        <v>Samal-Davao Pilotage Route</v>
      </c>
      <c r="K20" s="5" t="str">
        <f>IFERROR(INDEX(Lookups!$B$6:$B$19,MATCH(Raw_Incidents!V20,Lookups!$A$6:$A$19,0)),"National")</f>
        <v>Mindanao</v>
      </c>
      <c r="L20" s="5" t="str">
        <f>Raw_Incidents!AA20</f>
        <v>Good</v>
      </c>
      <c r="M20" s="5" t="str">
        <f t="shared" si="0"/>
        <v>Aug 25</v>
      </c>
      <c r="N20" s="5" t="str">
        <f t="shared" si="1"/>
        <v>2025-08</v>
      </c>
      <c r="O20" s="5">
        <f t="shared" si="2"/>
        <v>2025</v>
      </c>
      <c r="P20" s="5" t="str">
        <f t="shared" si="3"/>
        <v>Southwest Monsoon</v>
      </c>
      <c r="Q20" s="5" t="str">
        <f>IF(Raw_Incidents!AR20&lt;&gt;"",Raw_Incidents!AR20,IFERROR(INDEX(Lookups!$E$6:$E$15,MATCH(C20,Lookups!$D$6:$D$15,0)),"Under Investigation"))</f>
        <v>Mechanical Failure</v>
      </c>
      <c r="R20" s="5" t="str">
        <f>IF(Raw_Incidents!AQ20&lt;&gt;"",Raw_Incidents!AQ20,IFERROR(INDEX(Lookups!$H$6:$H$10,MATCH(Q20,Lookups!$G$6:$G$10,0)),""))</f>
        <v>Inadequate Training</v>
      </c>
      <c r="S20" s="5" t="str">
        <f>IF(Raw_Incidents!AI20&lt;&gt;"",Raw_Incidents!AI20,IFERROR(INDEX(Lookups!$K$6:$K$12,MATCH(E20,Lookups!$J$6:$J$12,0)),"General Cargo"))</f>
        <v>Containers</v>
      </c>
      <c r="T20" s="9">
        <f ca="1">MAX(YEAR(TODAY())-IF(Raw_Incidents!R20&lt;&gt;"",Raw_Incidents!R20,IFERROR(INDEX(Lookups!$N$6:$N$12,MATCH(E20,Lookups!$M$6:$M$12,0)),2010)),0)</f>
        <v>15</v>
      </c>
      <c r="U20" s="9">
        <f>Raw_Incidents!AW20</f>
        <v>0</v>
      </c>
      <c r="V20" s="9">
        <f>Raw_Incidents!AX20</f>
        <v>0</v>
      </c>
      <c r="W20" s="9">
        <f t="shared" si="4"/>
        <v>0</v>
      </c>
      <c r="X20" s="9">
        <f>IFERROR(INDEX(Lookups!$Q$6:$Q$9,MATCH(D20,Lookups!$P$6:$P$9,0)),1)</f>
        <v>2</v>
      </c>
      <c r="Y20" s="9">
        <f t="shared" si="5"/>
        <v>2</v>
      </c>
      <c r="Z20" s="5">
        <f>--OR(Raw_Incidents!J20&lt;&gt;"",Raw_Incidents!K20&lt;&gt;"")</f>
        <v>1</v>
      </c>
      <c r="AA20" s="5">
        <f>--AND(Raw_Incidents!AF20&lt;&gt;"",Raw_Incidents!AG20&lt;&gt;"")</f>
        <v>1</v>
      </c>
      <c r="AB20" s="5">
        <f>--AND(ISNUMBER(Raw_Incidents!Y20),ISNUMBER(Raw_Incidents!Z20),Raw_Incidents!AA20&lt;&gt;"")</f>
        <v>1</v>
      </c>
      <c r="AC20" s="5" t="str">
        <f>IF(Raw_Incidents!AH20&lt;&gt;"",Raw_Incidents!AH20,IF(AND(Raw_Incidents!AF20&lt;&gt;"",Raw_Incidents!AG20&lt;&gt;""),Raw_Incidents!AF20&amp;" to "&amp;Raw_Incidents!AG20,"Route pending"))</f>
        <v>Davao Gulf northbound merchant lane</v>
      </c>
      <c r="AD20" s="10">
        <f>ROUND((--(B20&lt;&gt;"")+--(C20&lt;&gt;"")+--(D20&lt;&gt;"")+--(Raw_Incidents!S20&lt;&gt;"")+--(Raw_Incidents!T20&lt;&gt;"")+--(Raw_Incidents!U20&lt;&gt;"")+--(H20&lt;&gt;"")+AB20+--(Raw_Incidents!F20&lt;&gt;"")+--(Raw_Incidents!I20&lt;&gt;"")+Z20+AA20+--(Raw_Incidents!AI20&lt;&gt;"")+--(Raw_Incidents!AN20&lt;&gt;"")+--(F20&lt;&gt;""))/15*100,0)</f>
        <v>100</v>
      </c>
      <c r="AE20" s="5">
        <f>--(Raw_Incidents!AZ20&lt;&gt;"")</f>
        <v>1</v>
      </c>
      <c r="AF20" s="5">
        <f t="shared" si="6"/>
        <v>1</v>
      </c>
      <c r="AG20" s="5" t="str">
        <f>Raw_Incidents!AN20</f>
        <v>Container ship experienced steering gear lag while aligning for pilot boarding inside Davao Gulf.</v>
      </c>
      <c r="AH20" s="5" t="str">
        <f>Raw_Incidents!F20</f>
        <v>MV Eastern Mariner</v>
      </c>
      <c r="AI20" s="5">
        <f>Raw_Incidents!S20</f>
        <v>6.8710000000000004</v>
      </c>
      <c r="AJ20" s="5">
        <f>Raw_Incidents!T20</f>
        <v>125.75700000000001</v>
      </c>
      <c r="AK20" s="5" t="str">
        <f>Raw_Incidents!AL20</f>
        <v>Web Portal</v>
      </c>
    </row>
    <row r="21" spans="1:37" x14ac:dyDescent="0.25">
      <c r="A21" s="5" t="str">
        <f>Raw_Incidents!A21</f>
        <v>INC-2025-000371</v>
      </c>
      <c r="B21" s="6">
        <f>Raw_Incidents!B21</f>
        <v>45904.786111111112</v>
      </c>
      <c r="C21" s="5" t="str">
        <f>Raw_Incidents!C21</f>
        <v>Swamping</v>
      </c>
      <c r="D21" s="5" t="str">
        <f>Raw_Incidents!E21</f>
        <v>Very Serious</v>
      </c>
      <c r="E21" s="5" t="str">
        <f>Raw_Incidents!H21</f>
        <v>General Cargo</v>
      </c>
      <c r="F21" s="5" t="str">
        <f>Raw_Incidents!AK21</f>
        <v>PCG</v>
      </c>
      <c r="G21" s="5" t="str">
        <f>Raw_Incidents!AM21</f>
        <v>Published</v>
      </c>
      <c r="H21" s="5" t="str">
        <f>Raw_Incidents!V21</f>
        <v>Sorsogon</v>
      </c>
      <c r="I21" s="5" t="str">
        <f>IF(Raw_Incidents!W21&lt;&gt;"",Raw_Incidents!W21,Raw_Incidents!U21)</f>
        <v>San Bernardino Strait</v>
      </c>
      <c r="J21" s="5" t="str">
        <f>IF(Raw_Incidents!X21&lt;&gt;"",Raw_Incidents!X21,IF(Raw_Incidents!AH21&lt;&gt;"",Raw_Incidents!AH21,IF(AND(Raw_Incidents!AF21&lt;&gt;"",Raw_Incidents!AG21&lt;&gt;""),Raw_Incidents!AF21&amp;" to "&amp;Raw_Incidents!AG21,"Corridor pending")))</f>
        <v>Matnog-Allen Ferry Transit</v>
      </c>
      <c r="K21" s="5" t="str">
        <f>IFERROR(INDEX(Lookups!$B$6:$B$19,MATCH(Raw_Incidents!V21,Lookups!$A$6:$A$19,0)),"National")</f>
        <v>Luzon</v>
      </c>
      <c r="L21" s="5" t="str">
        <f>Raw_Incidents!AA21</f>
        <v>Poor</v>
      </c>
      <c r="M21" s="5" t="str">
        <f t="shared" si="0"/>
        <v>Sep 25</v>
      </c>
      <c r="N21" s="5" t="str">
        <f t="shared" si="1"/>
        <v>2025-09</v>
      </c>
      <c r="O21" s="5">
        <f t="shared" si="2"/>
        <v>2025</v>
      </c>
      <c r="P21" s="5" t="str">
        <f t="shared" si="3"/>
        <v>Southwest Monsoon</v>
      </c>
      <c r="Q21" s="5" t="str">
        <f>IF(Raw_Incidents!AR21&lt;&gt;"",Raw_Incidents!AR21,IFERROR(INDEX(Lookups!$E$6:$E$15,MATCH(C21,Lookups!$D$6:$D$15,0)),"Under Investigation"))</f>
        <v>Weather Conditions</v>
      </c>
      <c r="R21" s="5" t="str">
        <f>IF(Raw_Incidents!AQ21&lt;&gt;"",Raw_Incidents!AQ21,IFERROR(INDEX(Lookups!$H$6:$H$10,MATCH(Q21,Lookups!$G$6:$G$10,0)),""))</f>
        <v>Violation of Procedures | Communication Failure</v>
      </c>
      <c r="S21" s="5" t="str">
        <f>IF(Raw_Incidents!AI21&lt;&gt;"",Raw_Incidents!AI21,IFERROR(INDEX(Lookups!$K$6:$K$12,MATCH(E21,Lookups!$J$6:$J$12,0)),"General Cargo"))</f>
        <v>General Cargo</v>
      </c>
      <c r="T21" s="9">
        <f ca="1">MAX(YEAR(TODAY())-IF(Raw_Incidents!R21&lt;&gt;"",Raw_Incidents!R21,IFERROR(INDEX(Lookups!$N$6:$N$12,MATCH(E21,Lookups!$M$6:$M$12,0)),2010)),0)</f>
        <v>18</v>
      </c>
      <c r="U21" s="9">
        <f>Raw_Incidents!AW21</f>
        <v>1</v>
      </c>
      <c r="V21" s="9">
        <f>Raw_Incidents!AX21</f>
        <v>4</v>
      </c>
      <c r="W21" s="9">
        <f t="shared" si="4"/>
        <v>5</v>
      </c>
      <c r="X21" s="9">
        <f>IFERROR(INDEX(Lookups!$Q$6:$Q$9,MATCH(D21,Lookups!$P$6:$P$9,0)),1)</f>
        <v>4</v>
      </c>
      <c r="Y21" s="9">
        <f t="shared" si="5"/>
        <v>20</v>
      </c>
      <c r="Z21" s="5">
        <f>--OR(Raw_Incidents!J21&lt;&gt;"",Raw_Incidents!K21&lt;&gt;"")</f>
        <v>1</v>
      </c>
      <c r="AA21" s="5">
        <f>--AND(Raw_Incidents!AF21&lt;&gt;"",Raw_Incidents!AG21&lt;&gt;"")</f>
        <v>1</v>
      </c>
      <c r="AB21" s="5">
        <f>--AND(ISNUMBER(Raw_Incidents!Y21),ISNUMBER(Raw_Incidents!Z21),Raw_Incidents!AA21&lt;&gt;"")</f>
        <v>1</v>
      </c>
      <c r="AC21" s="5" t="str">
        <f>IF(Raw_Incidents!AH21&lt;&gt;"",Raw_Incidents!AH21,IF(AND(Raw_Incidents!AF21&lt;&gt;"",Raw_Incidents!AG21&lt;&gt;""),Raw_Incidents!AF21&amp;" to "&amp;Raw_Incidents!AG21,"Route pending"))</f>
        <v>San Bernardino inter-island ferry route</v>
      </c>
      <c r="AD21" s="10">
        <f>ROUND((--(B21&lt;&gt;"")+--(C21&lt;&gt;"")+--(D21&lt;&gt;"")+--(Raw_Incidents!S21&lt;&gt;"")+--(Raw_Incidents!T21&lt;&gt;"")+--(Raw_Incidents!U21&lt;&gt;"")+--(H21&lt;&gt;"")+AB21+--(Raw_Incidents!F21&lt;&gt;"")+--(Raw_Incidents!I21&lt;&gt;"")+Z21+AA21+--(Raw_Incidents!AI21&lt;&gt;"")+--(Raw_Incidents!AN21&lt;&gt;"")+--(F21&lt;&gt;""))/15*100,0)</f>
        <v>100</v>
      </c>
      <c r="AE21" s="5">
        <f>--(Raw_Incidents!AZ21&lt;&gt;"")</f>
        <v>1</v>
      </c>
      <c r="AF21" s="5">
        <f t="shared" si="6"/>
        <v>1</v>
      </c>
      <c r="AG21" s="5" t="str">
        <f>Raw_Incidents!AN21</f>
        <v>General cargo vessel was overwhelmed by repeated green water over the bow and lost stability in San Bernardino Strait.</v>
      </c>
      <c r="AH21" s="5" t="str">
        <f>Raw_Incidents!F21</f>
        <v>MV Strait Guardian</v>
      </c>
      <c r="AI21" s="5">
        <f>Raw_Incidents!S21</f>
        <v>12.746</v>
      </c>
      <c r="AJ21" s="5">
        <f>Raw_Incidents!T21</f>
        <v>124.402</v>
      </c>
      <c r="AK21" s="5" t="str">
        <f>Raw_Incidents!AL21</f>
        <v>Manual Encoding</v>
      </c>
    </row>
    <row r="22" spans="1:37" x14ac:dyDescent="0.25">
      <c r="A22" s="5" t="str">
        <f>Raw_Incidents!A22</f>
        <v>INC-2025-000389</v>
      </c>
      <c r="B22" s="6">
        <f>Raw_Incidents!B22</f>
        <v>45922.465277777781</v>
      </c>
      <c r="C22" s="5" t="str">
        <f>Raw_Incidents!C22</f>
        <v>Collision</v>
      </c>
      <c r="D22" s="5" t="str">
        <f>Raw_Incidents!E22</f>
        <v>Serious</v>
      </c>
      <c r="E22" s="5" t="str">
        <f>Raw_Incidents!H22</f>
        <v>Bulk Carrier</v>
      </c>
      <c r="F22" s="5" t="str">
        <f>Raw_Incidents!AK22</f>
        <v>MARINA</v>
      </c>
      <c r="G22" s="5" t="str">
        <f>Raw_Incidents!AM22</f>
        <v>Published</v>
      </c>
      <c r="H22" s="5" t="str">
        <f>Raw_Incidents!V22</f>
        <v>Misamis Oriental</v>
      </c>
      <c r="I22" s="5" t="str">
        <f>IF(Raw_Incidents!W22&lt;&gt;"",Raw_Incidents!W22,Raw_Incidents!U22)</f>
        <v>Macajalar Bay</v>
      </c>
      <c r="J22" s="5" t="str">
        <f>IF(Raw_Incidents!X22&lt;&gt;"",Raw_Incidents!X22,IF(Raw_Incidents!AH22&lt;&gt;"",Raw_Incidents!AH22,IF(AND(Raw_Incidents!AF22&lt;&gt;"",Raw_Incidents!AG22&lt;&gt;""),Raw_Incidents!AF22&amp;" to "&amp;Raw_Incidents!AG22,"Corridor pending")))</f>
        <v>Macajalar Bay Bulk Access Lane</v>
      </c>
      <c r="K22" s="5" t="str">
        <f>IFERROR(INDEX(Lookups!$B$6:$B$19,MATCH(Raw_Incidents!V22,Lookups!$A$6:$A$19,0)),"National")</f>
        <v>Mindanao</v>
      </c>
      <c r="L22" s="5" t="str">
        <f>Raw_Incidents!AA22</f>
        <v>Good</v>
      </c>
      <c r="M22" s="5" t="str">
        <f t="shared" si="0"/>
        <v>Sep 25</v>
      </c>
      <c r="N22" s="5" t="str">
        <f t="shared" si="1"/>
        <v>2025-09</v>
      </c>
      <c r="O22" s="5">
        <f t="shared" si="2"/>
        <v>2025</v>
      </c>
      <c r="P22" s="5" t="str">
        <f t="shared" si="3"/>
        <v>Southwest Monsoon</v>
      </c>
      <c r="Q22" s="5" t="str">
        <f>IF(Raw_Incidents!AR22&lt;&gt;"",Raw_Incidents!AR22,IFERROR(INDEX(Lookups!$E$6:$E$15,MATCH(C22,Lookups!$D$6:$D$15,0)),"Under Investigation"))</f>
        <v>Navigation Error</v>
      </c>
      <c r="R22" s="5" t="str">
        <f>IF(Raw_Incidents!AQ22&lt;&gt;"",Raw_Incidents!AQ22,IFERROR(INDEX(Lookups!$H$6:$H$10,MATCH(Q22,Lookups!$G$6:$G$10,0)),""))</f>
        <v>Communication Failure</v>
      </c>
      <c r="S22" s="5" t="str">
        <f>IF(Raw_Incidents!AI22&lt;&gt;"",Raw_Incidents!AI22,IFERROR(INDEX(Lookups!$K$6:$K$12,MATCH(E22,Lookups!$J$6:$J$12,0)),"General Cargo"))</f>
        <v>Bulk cargo</v>
      </c>
      <c r="T22" s="9">
        <f ca="1">MAX(YEAR(TODAY())-IF(Raw_Incidents!R22&lt;&gt;"",Raw_Incidents!R22,IFERROR(INDEX(Lookups!$N$6:$N$12,MATCH(E22,Lookups!$M$6:$M$12,0)),2010)),0)</f>
        <v>19</v>
      </c>
      <c r="U22" s="9">
        <f>Raw_Incidents!AW22</f>
        <v>0</v>
      </c>
      <c r="V22" s="9">
        <f>Raw_Incidents!AX22</f>
        <v>1</v>
      </c>
      <c r="W22" s="9">
        <f t="shared" si="4"/>
        <v>1</v>
      </c>
      <c r="X22" s="9">
        <f>IFERROR(INDEX(Lookups!$Q$6:$Q$9,MATCH(D22,Lookups!$P$6:$P$9,0)),1)</f>
        <v>3</v>
      </c>
      <c r="Y22" s="9">
        <f t="shared" si="5"/>
        <v>3</v>
      </c>
      <c r="Z22" s="5">
        <f>--OR(Raw_Incidents!J22&lt;&gt;"",Raw_Incidents!K22&lt;&gt;"")</f>
        <v>1</v>
      </c>
      <c r="AA22" s="5">
        <f>--AND(Raw_Incidents!AF22&lt;&gt;"",Raw_Incidents!AG22&lt;&gt;"")</f>
        <v>1</v>
      </c>
      <c r="AB22" s="5">
        <f>--AND(ISNUMBER(Raw_Incidents!Y22),ISNUMBER(Raw_Incidents!Z22),Raw_Incidents!AA22&lt;&gt;"")</f>
        <v>1</v>
      </c>
      <c r="AC22" s="5" t="str">
        <f>IF(Raw_Incidents!AH22&lt;&gt;"",Raw_Incidents!AH22,IF(AND(Raw_Incidents!AF22&lt;&gt;"",Raw_Incidents!AG22&lt;&gt;""),Raw_Incidents!AF22&amp;" to "&amp;Raw_Incidents!AG22,"Route pending"))</f>
        <v>Macajalar Bay industrial shipping lane</v>
      </c>
      <c r="AD22" s="10">
        <f>ROUND((--(B22&lt;&gt;"")+--(C22&lt;&gt;"")+--(D22&lt;&gt;"")+--(Raw_Incidents!S22&lt;&gt;"")+--(Raw_Incidents!T22&lt;&gt;"")+--(Raw_Incidents!U22&lt;&gt;"")+--(H22&lt;&gt;"")+AB22+--(Raw_Incidents!F22&lt;&gt;"")+--(Raw_Incidents!I22&lt;&gt;"")+Z22+AA22+--(Raw_Incidents!AI22&lt;&gt;"")+--(Raw_Incidents!AN22&lt;&gt;"")+--(F22&lt;&gt;""))/15*100,0)</f>
        <v>100</v>
      </c>
      <c r="AE22" s="5">
        <f>--(Raw_Incidents!AZ22&lt;&gt;"")</f>
        <v>1</v>
      </c>
      <c r="AF22" s="5">
        <f t="shared" si="6"/>
        <v>1</v>
      </c>
      <c r="AG22" s="5" t="str">
        <f>Raw_Incidents!AN22</f>
        <v>Bulk carrier contacted a berth fender line and nearby service craft while shifting inside Macajalar Bay.</v>
      </c>
      <c r="AH22" s="5" t="str">
        <f>Raw_Incidents!F22</f>
        <v>MV Pacific Dream</v>
      </c>
      <c r="AI22" s="5">
        <f>Raw_Incidents!S22</f>
        <v>8.5120000000000005</v>
      </c>
      <c r="AJ22" s="5">
        <f>Raw_Incidents!T22</f>
        <v>124.747</v>
      </c>
      <c r="AK22" s="5" t="str">
        <f>Raw_Incidents!AL22</f>
        <v>Inter-agency Intake</v>
      </c>
    </row>
    <row r="23" spans="1:37" x14ac:dyDescent="0.25">
      <c r="A23" s="5" t="str">
        <f>Raw_Incidents!A23</f>
        <v>INC-2025-000406</v>
      </c>
      <c r="B23" s="6">
        <f>Raw_Incidents!B23</f>
        <v>45939.936111111107</v>
      </c>
      <c r="C23" s="5" t="str">
        <f>Raw_Incidents!C23</f>
        <v>Collision</v>
      </c>
      <c r="D23" s="5" t="str">
        <f>Raw_Incidents!E23</f>
        <v>Less Serious</v>
      </c>
      <c r="E23" s="5" t="str">
        <f>Raw_Incidents!H23</f>
        <v>General Cargo</v>
      </c>
      <c r="F23" s="5" t="str">
        <f>Raw_Incidents!AK23</f>
        <v>PCG</v>
      </c>
      <c r="G23" s="5" t="str">
        <f>Raw_Incidents!AM23</f>
        <v>Verified</v>
      </c>
      <c r="H23" s="5" t="str">
        <f>Raw_Incidents!V23</f>
        <v>Iloilo</v>
      </c>
      <c r="I23" s="5" t="str">
        <f>IF(Raw_Incidents!W23&lt;&gt;"",Raw_Incidents!W23,Raw_Incidents!U23)</f>
        <v>Iloilo Strait</v>
      </c>
      <c r="J23" s="5" t="str">
        <f>IF(Raw_Incidents!X23&lt;&gt;"",Raw_Incidents!X23,IF(Raw_Incidents!AH23&lt;&gt;"",Raw_Incidents!AH23,IF(AND(Raw_Incidents!AF23&lt;&gt;"",Raw_Incidents!AG23&lt;&gt;""),Raw_Incidents!AF23&amp;" to "&amp;Raw_Incidents!AG23,"Corridor pending")))</f>
        <v>Iloilo-Guimaras Transit Lane</v>
      </c>
      <c r="K23" s="5" t="str">
        <f>IFERROR(INDEX(Lookups!$B$6:$B$19,MATCH(Raw_Incidents!V23,Lookups!$A$6:$A$19,0)),"National")</f>
        <v>Visayas</v>
      </c>
      <c r="L23" s="5" t="str">
        <f>Raw_Incidents!AA23</f>
        <v>Moderate</v>
      </c>
      <c r="M23" s="5" t="str">
        <f t="shared" si="0"/>
        <v>Oct 25</v>
      </c>
      <c r="N23" s="5" t="str">
        <f t="shared" si="1"/>
        <v>2025-10</v>
      </c>
      <c r="O23" s="5">
        <f t="shared" si="2"/>
        <v>2025</v>
      </c>
      <c r="P23" s="5" t="str">
        <f t="shared" si="3"/>
        <v>Typhoon Season</v>
      </c>
      <c r="Q23" s="5" t="str">
        <f>IF(Raw_Incidents!AR23&lt;&gt;"",Raw_Incidents!AR23,IFERROR(INDEX(Lookups!$E$6:$E$15,MATCH(C23,Lookups!$D$6:$D$15,0)),"Under Investigation"))</f>
        <v>Navigation Error</v>
      </c>
      <c r="R23" s="5" t="str">
        <f>IF(Raw_Incidents!AQ23&lt;&gt;"",Raw_Incidents!AQ23,IFERROR(INDEX(Lookups!$H$6:$H$10,MATCH(Q23,Lookups!$G$6:$G$10,0)),""))</f>
        <v>Fatigue</v>
      </c>
      <c r="S23" s="5" t="str">
        <f>IF(Raw_Incidents!AI23&lt;&gt;"",Raw_Incidents!AI23,IFERROR(INDEX(Lookups!$K$6:$K$12,MATCH(E23,Lookups!$J$6:$J$12,0)),"General Cargo"))</f>
        <v>General Cargo</v>
      </c>
      <c r="T23" s="9">
        <f ca="1">MAX(YEAR(TODAY())-IF(Raw_Incidents!R23&lt;&gt;"",Raw_Incidents!R23,IFERROR(INDEX(Lookups!$N$6:$N$12,MATCH(E23,Lookups!$M$6:$M$12,0)),2010)),0)</f>
        <v>11</v>
      </c>
      <c r="U23" s="9">
        <f>Raw_Incidents!AW23</f>
        <v>0</v>
      </c>
      <c r="V23" s="9">
        <f>Raw_Incidents!AX23</f>
        <v>1</v>
      </c>
      <c r="W23" s="9">
        <f t="shared" si="4"/>
        <v>1</v>
      </c>
      <c r="X23" s="9">
        <f>IFERROR(INDEX(Lookups!$Q$6:$Q$9,MATCH(D23,Lookups!$P$6:$P$9,0)),1)</f>
        <v>2</v>
      </c>
      <c r="Y23" s="9">
        <f t="shared" si="5"/>
        <v>2</v>
      </c>
      <c r="Z23" s="5">
        <f>--OR(Raw_Incidents!J23&lt;&gt;"",Raw_Incidents!K23&lt;&gt;"")</f>
        <v>1</v>
      </c>
      <c r="AA23" s="5">
        <f>--AND(Raw_Incidents!AF23&lt;&gt;"",Raw_Incidents!AG23&lt;&gt;"")</f>
        <v>1</v>
      </c>
      <c r="AB23" s="5">
        <f>--AND(ISNUMBER(Raw_Incidents!Y23),ISNUMBER(Raw_Incidents!Z23),Raw_Incidents!AA23&lt;&gt;"")</f>
        <v>1</v>
      </c>
      <c r="AC23" s="5" t="str">
        <f>IF(Raw_Incidents!AH23&lt;&gt;"",Raw_Incidents!AH23,IF(AND(Raw_Incidents!AF23&lt;&gt;"",Raw_Incidents!AG23&lt;&gt;""),Raw_Incidents!AF23&amp;" to "&amp;Raw_Incidents!AG23,"Route pending"))</f>
        <v>Panay-Negros coastal ferry lane</v>
      </c>
      <c r="AD23" s="10">
        <f>ROUND((--(B23&lt;&gt;"")+--(C23&lt;&gt;"")+--(D23&lt;&gt;"")+--(Raw_Incidents!S23&lt;&gt;"")+--(Raw_Incidents!T23&lt;&gt;"")+--(Raw_Incidents!U23&lt;&gt;"")+--(H23&lt;&gt;"")+AB23+--(Raw_Incidents!F23&lt;&gt;"")+--(Raw_Incidents!I23&lt;&gt;"")+Z23+AA23+--(Raw_Incidents!AI23&lt;&gt;"")+--(Raw_Incidents!AN23&lt;&gt;"")+--(F23&lt;&gt;""))/15*100,0)</f>
        <v>100</v>
      </c>
      <c r="AE23" s="5">
        <f>--(Raw_Incidents!AZ23&lt;&gt;"")</f>
        <v>1</v>
      </c>
      <c r="AF23" s="5">
        <f t="shared" si="6"/>
        <v>1</v>
      </c>
      <c r="AG23" s="5" t="str">
        <f>Raw_Incidents!AN23</f>
        <v>General cargo vessel allided with a navigation buoy while crossing Iloilo Strait at night.</v>
      </c>
      <c r="AH23" s="5" t="str">
        <f>Raw_Incidents!F23</f>
        <v>MV Verde Logistics</v>
      </c>
      <c r="AI23" s="5">
        <f>Raw_Incidents!S23</f>
        <v>10.683999999999999</v>
      </c>
      <c r="AJ23" s="5">
        <f>Raw_Incidents!T23</f>
        <v>122.599</v>
      </c>
      <c r="AK23" s="5" t="str">
        <f>Raw_Incidents!AL23</f>
        <v>Web Portal</v>
      </c>
    </row>
    <row r="24" spans="1:37" x14ac:dyDescent="0.25">
      <c r="A24" s="5" t="str">
        <f>Raw_Incidents!A24</f>
        <v>INC-2025-000422</v>
      </c>
      <c r="B24" s="6">
        <f>Raw_Incidents!B24</f>
        <v>45957.565972222219</v>
      </c>
      <c r="C24" s="5" t="str">
        <f>Raw_Incidents!C24</f>
        <v>Collision</v>
      </c>
      <c r="D24" s="5" t="str">
        <f>Raw_Incidents!E24</f>
        <v>Very Serious</v>
      </c>
      <c r="E24" s="5" t="str">
        <f>Raw_Incidents!H24</f>
        <v>Bulk Carrier</v>
      </c>
      <c r="F24" s="5" t="str">
        <f>Raw_Incidents!AK24</f>
        <v>MARINA</v>
      </c>
      <c r="G24" s="5" t="str">
        <f>Raw_Incidents!AM24</f>
        <v>Published</v>
      </c>
      <c r="H24" s="5" t="str">
        <f>Raw_Incidents!V24</f>
        <v>Metro Manila</v>
      </c>
      <c r="I24" s="5" t="str">
        <f>IF(Raw_Incidents!W24&lt;&gt;"",Raw_Incidents!W24,Raw_Incidents!U24)</f>
        <v>Manila Bay</v>
      </c>
      <c r="J24" s="5" t="str">
        <f>IF(Raw_Incidents!X24&lt;&gt;"",Raw_Incidents!X24,IF(Raw_Incidents!AH24&lt;&gt;"",Raw_Incidents!AH24,IF(AND(Raw_Incidents!AF24&lt;&gt;"",Raw_Incidents!AG24&lt;&gt;""),Raw_Incidents!AF24&amp;" to "&amp;Raw_Incidents!AG24,"Corridor pending")))</f>
        <v>Manila Bay North Approach</v>
      </c>
      <c r="K24" s="5" t="str">
        <f>IFERROR(INDEX(Lookups!$B$6:$B$19,MATCH(Raw_Incidents!V24,Lookups!$A$6:$A$19,0)),"National")</f>
        <v>Luzon</v>
      </c>
      <c r="L24" s="5" t="str">
        <f>Raw_Incidents!AA24</f>
        <v>Poor</v>
      </c>
      <c r="M24" s="5" t="str">
        <f t="shared" si="0"/>
        <v>Oct 25</v>
      </c>
      <c r="N24" s="5" t="str">
        <f t="shared" si="1"/>
        <v>2025-10</v>
      </c>
      <c r="O24" s="5">
        <f t="shared" si="2"/>
        <v>2025</v>
      </c>
      <c r="P24" s="5" t="str">
        <f t="shared" si="3"/>
        <v>Typhoon Season</v>
      </c>
      <c r="Q24" s="5" t="str">
        <f>IF(Raw_Incidents!AR24&lt;&gt;"",Raw_Incidents!AR24,IFERROR(INDEX(Lookups!$E$6:$E$15,MATCH(C24,Lookups!$D$6:$D$15,0)),"Under Investigation"))</f>
        <v>Navigation Error</v>
      </c>
      <c r="R24" s="5" t="str">
        <f>IF(Raw_Incidents!AQ24&lt;&gt;"",Raw_Incidents!AQ24,IFERROR(INDEX(Lookups!$H$6:$H$10,MATCH(Q24,Lookups!$G$6:$G$10,0)),""))</f>
        <v>Communication Failure | Violation of Procedures</v>
      </c>
      <c r="S24" s="5" t="str">
        <f>IF(Raw_Incidents!AI24&lt;&gt;"",Raw_Incidents!AI24,IFERROR(INDEX(Lookups!$K$6:$K$12,MATCH(E24,Lookups!$J$6:$J$12,0)),"General Cargo"))</f>
        <v>Bulk cargo</v>
      </c>
      <c r="T24" s="9">
        <f ca="1">MAX(YEAR(TODAY())-IF(Raw_Incidents!R24&lt;&gt;"",Raw_Incidents!R24,IFERROR(INDEX(Lookups!$N$6:$N$12,MATCH(E24,Lookups!$M$6:$M$12,0)),2010)),0)</f>
        <v>20</v>
      </c>
      <c r="U24" s="9">
        <f>Raw_Incidents!AW24</f>
        <v>2</v>
      </c>
      <c r="V24" s="9">
        <f>Raw_Incidents!AX24</f>
        <v>6</v>
      </c>
      <c r="W24" s="9">
        <f t="shared" si="4"/>
        <v>8</v>
      </c>
      <c r="X24" s="9">
        <f>IFERROR(INDEX(Lookups!$Q$6:$Q$9,MATCH(D24,Lookups!$P$6:$P$9,0)),1)</f>
        <v>4</v>
      </c>
      <c r="Y24" s="9">
        <f t="shared" si="5"/>
        <v>32</v>
      </c>
      <c r="Z24" s="5">
        <f>--OR(Raw_Incidents!J24&lt;&gt;"",Raw_Incidents!K24&lt;&gt;"")</f>
        <v>1</v>
      </c>
      <c r="AA24" s="5">
        <f>--AND(Raw_Incidents!AF24&lt;&gt;"",Raw_Incidents!AG24&lt;&gt;"")</f>
        <v>1</v>
      </c>
      <c r="AB24" s="5">
        <f>--AND(ISNUMBER(Raw_Incidents!Y24),ISNUMBER(Raw_Incidents!Z24),Raw_Incidents!AA24&lt;&gt;"")</f>
        <v>1</v>
      </c>
      <c r="AC24" s="5" t="str">
        <f>IF(Raw_Incidents!AH24&lt;&gt;"",Raw_Incidents!AH24,IF(AND(Raw_Incidents!AF24&lt;&gt;"",Raw_Incidents!AG24&lt;&gt;""),Raw_Incidents!AF24&amp;" to "&amp;Raw_Incidents!AG24,"Route pending"))</f>
        <v>Subic-Manila inbound traffic lane</v>
      </c>
      <c r="AD24" s="10">
        <f>ROUND((--(B24&lt;&gt;"")+--(C24&lt;&gt;"")+--(D24&lt;&gt;"")+--(Raw_Incidents!S24&lt;&gt;"")+--(Raw_Incidents!T24&lt;&gt;"")+--(Raw_Incidents!U24&lt;&gt;"")+--(H24&lt;&gt;"")+AB24+--(Raw_Incidents!F24&lt;&gt;"")+--(Raw_Incidents!I24&lt;&gt;"")+Z24+AA24+--(Raw_Incidents!AI24&lt;&gt;"")+--(Raw_Incidents!AN24&lt;&gt;"")+--(F24&lt;&gt;""))/15*100,0)</f>
        <v>100</v>
      </c>
      <c r="AE24" s="5">
        <f>--(Raw_Incidents!AZ24&lt;&gt;"")</f>
        <v>1</v>
      </c>
      <c r="AF24" s="5">
        <f t="shared" si="6"/>
        <v>1</v>
      </c>
      <c r="AG24" s="5" t="str">
        <f>Raw_Incidents!AN24</f>
        <v>Bulk carrier collided with a fishing vessel at the edge of the Manila Bay north approach under patchy visibility.</v>
      </c>
      <c r="AH24" s="5" t="str">
        <f>Raw_Incidents!F24</f>
        <v>MV Pacific Trader</v>
      </c>
      <c r="AI24" s="5">
        <f>Raw_Incidents!S24</f>
        <v>14.632999999999999</v>
      </c>
      <c r="AJ24" s="5">
        <f>Raw_Incidents!T24</f>
        <v>120.81100000000001</v>
      </c>
      <c r="AK24" s="5" t="str">
        <f>Raw_Incidents!AL24</f>
        <v>Inter-agency Intake</v>
      </c>
    </row>
    <row r="25" spans="1:37" x14ac:dyDescent="0.25">
      <c r="A25" s="5" t="str">
        <f>Raw_Incidents!A25</f>
        <v>INC-2025-000441</v>
      </c>
      <c r="B25" s="6">
        <f>Raw_Incidents!B25</f>
        <v>45974.737500000003</v>
      </c>
      <c r="C25" s="5" t="str">
        <f>Raw_Incidents!C25</f>
        <v>Fire/Explosion</v>
      </c>
      <c r="D25" s="5" t="str">
        <f>Raw_Incidents!E25</f>
        <v>Very Serious</v>
      </c>
      <c r="E25" s="5" t="str">
        <f>Raw_Incidents!H25</f>
        <v>Oil Tanker</v>
      </c>
      <c r="F25" s="5" t="str">
        <f>Raw_Incidents!AK25</f>
        <v>MARINA</v>
      </c>
      <c r="G25" s="5" t="str">
        <f>Raw_Incidents!AM25</f>
        <v>Published</v>
      </c>
      <c r="H25" s="5" t="str">
        <f>Raw_Incidents!V25</f>
        <v>Batangas</v>
      </c>
      <c r="I25" s="5" t="str">
        <f>IF(Raw_Incidents!W25&lt;&gt;"",Raw_Incidents!W25,Raw_Incidents!U25)</f>
        <v>Verde Island Passage</v>
      </c>
      <c r="J25" s="5" t="str">
        <f>IF(Raw_Incidents!X25&lt;&gt;"",Raw_Incidents!X25,IF(Raw_Incidents!AH25&lt;&gt;"",Raw_Incidents!AH25,IF(AND(Raw_Incidents!AF25&lt;&gt;"",Raw_Incidents!AG25&lt;&gt;""),Raw_Incidents!AF25&amp;" to "&amp;Raw_Incidents!AG25,"Corridor pending")))</f>
        <v>Batangas-Calapan Transit Lane</v>
      </c>
      <c r="K25" s="5" t="str">
        <f>IFERROR(INDEX(Lookups!$B$6:$B$19,MATCH(Raw_Incidents!V25,Lookups!$A$6:$A$19,0)),"National")</f>
        <v>Luzon</v>
      </c>
      <c r="L25" s="5" t="str">
        <f>Raw_Incidents!AA25</f>
        <v>Moderate</v>
      </c>
      <c r="M25" s="5" t="str">
        <f t="shared" si="0"/>
        <v>Nov 25</v>
      </c>
      <c r="N25" s="5" t="str">
        <f t="shared" si="1"/>
        <v>2025-11</v>
      </c>
      <c r="O25" s="5">
        <f t="shared" si="2"/>
        <v>2025</v>
      </c>
      <c r="P25" s="5" t="str">
        <f t="shared" si="3"/>
        <v>Typhoon Season</v>
      </c>
      <c r="Q25" s="5" t="str">
        <f>IF(Raw_Incidents!AR25&lt;&gt;"",Raw_Incidents!AR25,IFERROR(INDEX(Lookups!$E$6:$E$15,MATCH(C25,Lookups!$D$6:$D$15,0)),"Under Investigation"))</f>
        <v>Mechanical Failure</v>
      </c>
      <c r="R25" s="5" t="str">
        <f>IF(Raw_Incidents!AQ25&lt;&gt;"",Raw_Incidents!AQ25,IFERROR(INDEX(Lookups!$H$6:$H$10,MATCH(Q25,Lookups!$G$6:$G$10,0)),""))</f>
        <v>Inadequate Training | Violation of Procedures</v>
      </c>
      <c r="S25" s="5" t="str">
        <f>IF(Raw_Incidents!AI25&lt;&gt;"",Raw_Incidents!AI25,IFERROR(INDEX(Lookups!$K$6:$K$12,MATCH(E25,Lookups!$J$6:$J$12,0)),"General Cargo"))</f>
        <v>Fuel / Oil</v>
      </c>
      <c r="T25" s="9">
        <f ca="1">MAX(YEAR(TODAY())-IF(Raw_Incidents!R25&lt;&gt;"",Raw_Incidents!R25,IFERROR(INDEX(Lookups!$N$6:$N$12,MATCH(E25,Lookups!$M$6:$M$12,0)),2010)),0)</f>
        <v>14</v>
      </c>
      <c r="U25" s="9">
        <f>Raw_Incidents!AW25</f>
        <v>1</v>
      </c>
      <c r="V25" s="9">
        <f>Raw_Incidents!AX25</f>
        <v>8</v>
      </c>
      <c r="W25" s="9">
        <f t="shared" si="4"/>
        <v>9</v>
      </c>
      <c r="X25" s="9">
        <f>IFERROR(INDEX(Lookups!$Q$6:$Q$9,MATCH(D25,Lookups!$P$6:$P$9,0)),1)</f>
        <v>4</v>
      </c>
      <c r="Y25" s="9">
        <f t="shared" si="5"/>
        <v>36</v>
      </c>
      <c r="Z25" s="5">
        <f>--OR(Raw_Incidents!J25&lt;&gt;"",Raw_Incidents!K25&lt;&gt;"")</f>
        <v>1</v>
      </c>
      <c r="AA25" s="5">
        <f>--AND(Raw_Incidents!AF25&lt;&gt;"",Raw_Incidents!AG25&lt;&gt;"")</f>
        <v>1</v>
      </c>
      <c r="AB25" s="5">
        <f>--AND(ISNUMBER(Raw_Incidents!Y25),ISNUMBER(Raw_Incidents!Z25),Raw_Incidents!AA25&lt;&gt;"")</f>
        <v>1</v>
      </c>
      <c r="AC25" s="5" t="str">
        <f>IF(Raw_Incidents!AH25&lt;&gt;"",Raw_Incidents!AH25,IF(AND(Raw_Incidents!AF25&lt;&gt;"",Raw_Incidents!AG25&lt;&gt;""),Raw_Incidents!AF25&amp;" to "&amp;Raw_Incidents!AG25,"Route pending"))</f>
        <v>Verde Island Passage east-west corridor</v>
      </c>
      <c r="AD25" s="10">
        <f>ROUND((--(B25&lt;&gt;"")+--(C25&lt;&gt;"")+--(D25&lt;&gt;"")+--(Raw_Incidents!S25&lt;&gt;"")+--(Raw_Incidents!T25&lt;&gt;"")+--(Raw_Incidents!U25&lt;&gt;"")+--(H25&lt;&gt;"")+AB25+--(Raw_Incidents!F25&lt;&gt;"")+--(Raw_Incidents!I25&lt;&gt;"")+Z25+AA25+--(Raw_Incidents!AI25&lt;&gt;"")+--(Raw_Incidents!AN25&lt;&gt;"")+--(F25&lt;&gt;""))/15*100,0)</f>
        <v>100</v>
      </c>
      <c r="AE25" s="5">
        <f>--(Raw_Incidents!AZ25&lt;&gt;"")</f>
        <v>1</v>
      </c>
      <c r="AF25" s="5">
        <f t="shared" si="6"/>
        <v>1</v>
      </c>
      <c r="AG25" s="5" t="str">
        <f>Raw_Incidents!AN25</f>
        <v>Pump room explosion injured multiple crew while the tanker transited a busy section of the Verde Island Passage.</v>
      </c>
      <c r="AH25" s="5" t="str">
        <f>Raw_Incidents!F25</f>
        <v>MT Southern Crest</v>
      </c>
      <c r="AI25" s="5">
        <f>Raw_Incidents!S25</f>
        <v>13.779</v>
      </c>
      <c r="AJ25" s="5">
        <f>Raw_Incidents!T25</f>
        <v>121.083</v>
      </c>
      <c r="AK25" s="5" t="str">
        <f>Raw_Incidents!AL25</f>
        <v>Manual Encoding</v>
      </c>
    </row>
    <row r="26" spans="1:37" x14ac:dyDescent="0.25">
      <c r="A26" s="5" t="str">
        <f>Raw_Incidents!A26</f>
        <v>INC-2025-000458</v>
      </c>
      <c r="B26" s="6">
        <f>Raw_Incidents!B26</f>
        <v>45989.206944444442</v>
      </c>
      <c r="C26" s="5" t="str">
        <f>Raw_Incidents!C26</f>
        <v>Collision</v>
      </c>
      <c r="D26" s="5" t="str">
        <f>Raw_Incidents!E26</f>
        <v>Near Miss</v>
      </c>
      <c r="E26" s="5" t="str">
        <f>Raw_Incidents!H26</f>
        <v>Ferry</v>
      </c>
      <c r="F26" s="5" t="str">
        <f>Raw_Incidents!AK26</f>
        <v>PCG</v>
      </c>
      <c r="G26" s="5" t="str">
        <f>Raw_Incidents!AM26</f>
        <v>Under Review</v>
      </c>
      <c r="H26" s="5" t="str">
        <f>Raw_Incidents!V26</f>
        <v>Cebu</v>
      </c>
      <c r="I26" s="5" t="str">
        <f>IF(Raw_Incidents!W26&lt;&gt;"",Raw_Incidents!W26,Raw_Incidents!U26)</f>
        <v>Cebu Strait</v>
      </c>
      <c r="J26" s="5" t="str">
        <f>IF(Raw_Incidents!X26&lt;&gt;"",Raw_Incidents!X26,IF(Raw_Incidents!AH26&lt;&gt;"",Raw_Incidents!AH26,IF(AND(Raw_Incidents!AF26&lt;&gt;"",Raw_Incidents!AG26&lt;&gt;""),Raw_Incidents!AF26&amp;" to "&amp;Raw_Incidents!AG26,"Corridor pending")))</f>
        <v>Cebu-Mactan Southern Approach</v>
      </c>
      <c r="K26" s="5" t="str">
        <f>IFERROR(INDEX(Lookups!$B$6:$B$19,MATCH(Raw_Incidents!V26,Lookups!$A$6:$A$19,0)),"National")</f>
        <v>Visayas</v>
      </c>
      <c r="L26" s="5" t="str">
        <f>Raw_Incidents!AA26</f>
        <v>Good</v>
      </c>
      <c r="M26" s="5" t="str">
        <f t="shared" si="0"/>
        <v>Nov 25</v>
      </c>
      <c r="N26" s="5" t="str">
        <f t="shared" si="1"/>
        <v>2025-11</v>
      </c>
      <c r="O26" s="5">
        <f t="shared" si="2"/>
        <v>2025</v>
      </c>
      <c r="P26" s="5" t="str">
        <f t="shared" si="3"/>
        <v>Typhoon Season</v>
      </c>
      <c r="Q26" s="5" t="str">
        <f>IF(Raw_Incidents!AR26&lt;&gt;"",Raw_Incidents!AR26,IFERROR(INDEX(Lookups!$E$6:$E$15,MATCH(C26,Lookups!$D$6:$D$15,0)),"Under Investigation"))</f>
        <v>Navigation Error</v>
      </c>
      <c r="R26" s="5" t="str">
        <f>IF(Raw_Incidents!AQ26&lt;&gt;"",Raw_Incidents!AQ26,IFERROR(INDEX(Lookups!$H$6:$H$10,MATCH(Q26,Lookups!$G$6:$G$10,0)),""))</f>
        <v>Communication Failure</v>
      </c>
      <c r="S26" s="5" t="str">
        <f>IF(Raw_Incidents!AI26&lt;&gt;"",Raw_Incidents!AI26,IFERROR(INDEX(Lookups!$K$6:$K$12,MATCH(E26,Lookups!$J$6:$J$12,0)),"General Cargo"))</f>
        <v>Passengers</v>
      </c>
      <c r="T26" s="9">
        <f ca="1">MAX(YEAR(TODAY())-IF(Raw_Incidents!R26&lt;&gt;"",Raw_Incidents!R26,IFERROR(INDEX(Lookups!$N$6:$N$12,MATCH(E26,Lookups!$M$6:$M$12,0)),2010)),0)</f>
        <v>15</v>
      </c>
      <c r="U26" s="9">
        <f>Raw_Incidents!AW26</f>
        <v>0</v>
      </c>
      <c r="V26" s="9">
        <f>Raw_Incidents!AX26</f>
        <v>0</v>
      </c>
      <c r="W26" s="9">
        <f t="shared" si="4"/>
        <v>0</v>
      </c>
      <c r="X26" s="9">
        <f>IFERROR(INDEX(Lookups!$Q$6:$Q$9,MATCH(D26,Lookups!$P$6:$P$9,0)),1)</f>
        <v>1</v>
      </c>
      <c r="Y26" s="9">
        <f t="shared" si="5"/>
        <v>1</v>
      </c>
      <c r="Z26" s="5">
        <f>--OR(Raw_Incidents!J26&lt;&gt;"",Raw_Incidents!K26&lt;&gt;"")</f>
        <v>1</v>
      </c>
      <c r="AA26" s="5">
        <f>--AND(Raw_Incidents!AF26&lt;&gt;"",Raw_Incidents!AG26&lt;&gt;"")</f>
        <v>1</v>
      </c>
      <c r="AB26" s="5">
        <f>--AND(ISNUMBER(Raw_Incidents!Y26),ISNUMBER(Raw_Incidents!Z26),Raw_Incidents!AA26&lt;&gt;"")</f>
        <v>1</v>
      </c>
      <c r="AC26" s="5" t="str">
        <f>IF(Raw_Incidents!AH26&lt;&gt;"",Raw_Incidents!AH26,IF(AND(Raw_Incidents!AF26&lt;&gt;"",Raw_Incidents!AG26&lt;&gt;""),Raw_Incidents!AF26&amp;" to "&amp;Raw_Incidents!AG26,"Route pending"))</f>
        <v>Cebu Strait domestic passenger corridor</v>
      </c>
      <c r="AD26" s="10">
        <f>ROUND((--(B26&lt;&gt;"")+--(C26&lt;&gt;"")+--(D26&lt;&gt;"")+--(Raw_Incidents!S26&lt;&gt;"")+--(Raw_Incidents!T26&lt;&gt;"")+--(Raw_Incidents!U26&lt;&gt;"")+--(H26&lt;&gt;"")+AB26+--(Raw_Incidents!F26&lt;&gt;"")+--(Raw_Incidents!I26&lt;&gt;"")+Z26+AA26+--(Raw_Incidents!AI26&lt;&gt;"")+--(Raw_Incidents!AN26&lt;&gt;"")+--(F26&lt;&gt;""))/15*100,0)</f>
        <v>100</v>
      </c>
      <c r="AE26" s="5">
        <f>--(Raw_Incidents!AZ26&lt;&gt;"")</f>
        <v>1</v>
      </c>
      <c r="AF26" s="5">
        <f t="shared" si="6"/>
        <v>0</v>
      </c>
      <c r="AG26" s="5" t="str">
        <f>Raw_Incidents!AN26</f>
        <v>Passenger ferry reported a near-miss crossing event with an outbound coaster near the Mactan approach.</v>
      </c>
      <c r="AH26" s="5" t="str">
        <f>Raw_Incidents!F26</f>
        <v>MV Island Express</v>
      </c>
      <c r="AI26" s="5">
        <f>Raw_Incidents!S26</f>
        <v>10.238</v>
      </c>
      <c r="AJ26" s="5">
        <f>Raw_Incidents!T26</f>
        <v>123.95099999999999</v>
      </c>
      <c r="AK26" s="5" t="str">
        <f>Raw_Incidents!AL26</f>
        <v>Mobile App</v>
      </c>
    </row>
    <row r="27" spans="1:37" x14ac:dyDescent="0.25">
      <c r="A27" s="5" t="str">
        <f>Raw_Incidents!A27</f>
        <v>INC-2025-000476</v>
      </c>
      <c r="B27" s="6">
        <f>Raw_Incidents!B27</f>
        <v>46007.386111111111</v>
      </c>
      <c r="C27" s="5" t="str">
        <f>Raw_Incidents!C27</f>
        <v>Capsizing</v>
      </c>
      <c r="D27" s="5" t="str">
        <f>Raw_Incidents!E27</f>
        <v>Serious</v>
      </c>
      <c r="E27" s="5" t="str">
        <f>Raw_Incidents!H27</f>
        <v>Fishing Vessel</v>
      </c>
      <c r="F27" s="5" t="str">
        <f>Raw_Incidents!AK27</f>
        <v>PCG</v>
      </c>
      <c r="G27" s="5" t="str">
        <f>Raw_Incidents!AM27</f>
        <v>Published</v>
      </c>
      <c r="H27" s="5" t="str">
        <f>Raw_Incidents!V27</f>
        <v>Southern Leyte</v>
      </c>
      <c r="I27" s="5" t="str">
        <f>IF(Raw_Incidents!W27&lt;&gt;"",Raw_Incidents!W27,Raw_Incidents!U27)</f>
        <v>Surigao Strait</v>
      </c>
      <c r="J27" s="5" t="str">
        <f>IF(Raw_Incidents!X27&lt;&gt;"",Raw_Incidents!X27,IF(Raw_Incidents!AH27&lt;&gt;"",Raw_Incidents!AH27,IF(AND(Raw_Incidents!AF27&lt;&gt;"",Raw_Incidents!AG27&lt;&gt;""),Raw_Incidents!AF27&amp;" to "&amp;Raw_Incidents!AG27,"Corridor pending")))</f>
        <v>Liloan-Surigao Crossing</v>
      </c>
      <c r="K27" s="5" t="str">
        <f>IFERROR(INDEX(Lookups!$B$6:$B$19,MATCH(Raw_Incidents!V27,Lookups!$A$6:$A$19,0)),"National")</f>
        <v>Visayas</v>
      </c>
      <c r="L27" s="5" t="str">
        <f>Raw_Incidents!AA27</f>
        <v>Moderate</v>
      </c>
      <c r="M27" s="5" t="str">
        <f t="shared" si="0"/>
        <v>Dec 25</v>
      </c>
      <c r="N27" s="5" t="str">
        <f t="shared" si="1"/>
        <v>2025-12</v>
      </c>
      <c r="O27" s="5">
        <f t="shared" si="2"/>
        <v>2025</v>
      </c>
      <c r="P27" s="5" t="str">
        <f t="shared" si="3"/>
        <v>Northeast Monsoon</v>
      </c>
      <c r="Q27" s="5" t="str">
        <f>IF(Raw_Incidents!AR27&lt;&gt;"",Raw_Incidents!AR27,IFERROR(INDEX(Lookups!$E$6:$E$15,MATCH(C27,Lookups!$D$6:$D$15,0)),"Under Investigation"))</f>
        <v>Weather Conditions</v>
      </c>
      <c r="R27" s="5" t="str">
        <f>IF(Raw_Incidents!AQ27&lt;&gt;"",Raw_Incidents!AQ27,IFERROR(INDEX(Lookups!$H$6:$H$10,MATCH(Q27,Lookups!$G$6:$G$10,0)),""))</f>
        <v>Violation of Procedures</v>
      </c>
      <c r="S27" s="5" t="str">
        <f>IF(Raw_Incidents!AI27&lt;&gt;"",Raw_Incidents!AI27,IFERROR(INDEX(Lookups!$K$6:$K$12,MATCH(E27,Lookups!$J$6:$J$12,0)),"General Cargo"))</f>
        <v>Fish Catch</v>
      </c>
      <c r="T27" s="9">
        <f ca="1">MAX(YEAR(TODAY())-IF(Raw_Incidents!R27&lt;&gt;"",Raw_Incidents!R27,IFERROR(INDEX(Lookups!$N$6:$N$12,MATCH(E27,Lookups!$M$6:$M$12,0)),2010)),0)</f>
        <v>21</v>
      </c>
      <c r="U27" s="9">
        <f>Raw_Incidents!AW27</f>
        <v>1</v>
      </c>
      <c r="V27" s="9">
        <f>Raw_Incidents!AX27</f>
        <v>2</v>
      </c>
      <c r="W27" s="9">
        <f t="shared" si="4"/>
        <v>3</v>
      </c>
      <c r="X27" s="9">
        <f>IFERROR(INDEX(Lookups!$Q$6:$Q$9,MATCH(D27,Lookups!$P$6:$P$9,0)),1)</f>
        <v>3</v>
      </c>
      <c r="Y27" s="9">
        <f t="shared" si="5"/>
        <v>9</v>
      </c>
      <c r="Z27" s="5">
        <f>--OR(Raw_Incidents!J27&lt;&gt;"",Raw_Incidents!K27&lt;&gt;"")</f>
        <v>1</v>
      </c>
      <c r="AA27" s="5">
        <f>--AND(Raw_Incidents!AF27&lt;&gt;"",Raw_Incidents!AG27&lt;&gt;"")</f>
        <v>1</v>
      </c>
      <c r="AB27" s="5">
        <f>--AND(ISNUMBER(Raw_Incidents!Y27),ISNUMBER(Raw_Incidents!Z27),Raw_Incidents!AA27&lt;&gt;"")</f>
        <v>1</v>
      </c>
      <c r="AC27" s="5" t="str">
        <f>IF(Raw_Incidents!AH27&lt;&gt;"",Raw_Incidents!AH27,IF(AND(Raw_Incidents!AF27&lt;&gt;"",Raw_Incidents!AG27&lt;&gt;""),Raw_Incidents!AF27&amp;" to "&amp;Raw_Incidents!AG27,"Route pending"))</f>
        <v>Southern Leyte-Surigao strait crossing lane</v>
      </c>
      <c r="AD27" s="10">
        <f>ROUND((--(B27&lt;&gt;"")+--(C27&lt;&gt;"")+--(D27&lt;&gt;"")+--(Raw_Incidents!S27&lt;&gt;"")+--(Raw_Incidents!T27&lt;&gt;"")+--(Raw_Incidents!U27&lt;&gt;"")+--(H27&lt;&gt;"")+AB27+--(Raw_Incidents!F27&lt;&gt;"")+--(Raw_Incidents!I27&lt;&gt;"")+Z27+AA27+--(Raw_Incidents!AI27&lt;&gt;"")+--(Raw_Incidents!AN27&lt;&gt;"")+--(F27&lt;&gt;""))/15*100,0)</f>
        <v>100</v>
      </c>
      <c r="AE27" s="5">
        <f>--(Raw_Incidents!AZ27&lt;&gt;"")</f>
        <v>1</v>
      </c>
      <c r="AF27" s="5">
        <f t="shared" si="6"/>
        <v>1</v>
      </c>
      <c r="AG27" s="5" t="str">
        <f>Raw_Incidents!AN27</f>
        <v>Small fishing vessel capsized after hauling a heavy catch close to the Surigao crossing lane.</v>
      </c>
      <c r="AH27" s="5" t="str">
        <f>Raw_Incidents!F27</f>
        <v>FB Dona Pilar</v>
      </c>
      <c r="AI27" s="5">
        <f>Raw_Incidents!S27</f>
        <v>10.955</v>
      </c>
      <c r="AJ27" s="5">
        <f>Raw_Incidents!T27</f>
        <v>125.55200000000001</v>
      </c>
      <c r="AK27" s="5" t="str">
        <f>Raw_Incidents!AL27</f>
        <v>Manual Encoding</v>
      </c>
    </row>
    <row r="28" spans="1:37" x14ac:dyDescent="0.25">
      <c r="A28" s="5" t="str">
        <f>Raw_Incidents!A28</f>
        <v>INC-2026-000021</v>
      </c>
      <c r="B28" s="6">
        <f>Raw_Incidents!B28</f>
        <v>46030.605555555558</v>
      </c>
      <c r="C28" s="5" t="str">
        <f>Raw_Incidents!C28</f>
        <v>Collision</v>
      </c>
      <c r="D28" s="5" t="str">
        <f>Raw_Incidents!E28</f>
        <v>Serious</v>
      </c>
      <c r="E28" s="5" t="str">
        <f>Raw_Incidents!H28</f>
        <v>Fishing Vessel</v>
      </c>
      <c r="F28" s="5" t="str">
        <f>Raw_Incidents!AK28</f>
        <v>PCG</v>
      </c>
      <c r="G28" s="5" t="str">
        <f>Raw_Incidents!AM28</f>
        <v>Verified</v>
      </c>
      <c r="H28" s="5" t="str">
        <f>Raw_Incidents!V28</f>
        <v>Palawan</v>
      </c>
      <c r="I28" s="5" t="str">
        <f>IF(Raw_Incidents!W28&lt;&gt;"",Raw_Incidents!W28,Raw_Incidents!U28)</f>
        <v>Palawan Approaches</v>
      </c>
      <c r="J28" s="5" t="str">
        <f>IF(Raw_Incidents!X28&lt;&gt;"",Raw_Incidents!X28,IF(Raw_Incidents!AH28&lt;&gt;"",Raw_Incidents!AH28,IF(AND(Raw_Incidents!AF28&lt;&gt;"",Raw_Incidents!AG28&lt;&gt;""),Raw_Incidents!AF28&amp;" to "&amp;Raw_Incidents!AG28,"Corridor pending")))</f>
        <v>Puerto Princesa Western Approach</v>
      </c>
      <c r="K28" s="5" t="str">
        <f>IFERROR(INDEX(Lookups!$B$6:$B$19,MATCH(Raw_Incidents!V28,Lookups!$A$6:$A$19,0)),"National")</f>
        <v>Luzon</v>
      </c>
      <c r="L28" s="5" t="str">
        <f>Raw_Incidents!AA28</f>
        <v>Moderate</v>
      </c>
      <c r="M28" s="5" t="str">
        <f t="shared" si="0"/>
        <v>Jan 26</v>
      </c>
      <c r="N28" s="5" t="str">
        <f t="shared" si="1"/>
        <v>2026-01</v>
      </c>
      <c r="O28" s="5">
        <f t="shared" si="2"/>
        <v>2026</v>
      </c>
      <c r="P28" s="5" t="str">
        <f t="shared" si="3"/>
        <v>Northeast Monsoon</v>
      </c>
      <c r="Q28" s="5" t="str">
        <f>IF(Raw_Incidents!AR28&lt;&gt;"",Raw_Incidents!AR28,IFERROR(INDEX(Lookups!$E$6:$E$15,MATCH(C28,Lookups!$D$6:$D$15,0)),"Under Investigation"))</f>
        <v>Human Error</v>
      </c>
      <c r="R28" s="5" t="str">
        <f>IF(Raw_Incidents!AQ28&lt;&gt;"",Raw_Incidents!AQ28,IFERROR(INDEX(Lookups!$H$6:$H$10,MATCH(Q28,Lookups!$G$6:$G$10,0)),""))</f>
        <v>Communication Failure | Fatigue</v>
      </c>
      <c r="S28" s="5" t="str">
        <f>IF(Raw_Incidents!AI28&lt;&gt;"",Raw_Incidents!AI28,IFERROR(INDEX(Lookups!$K$6:$K$12,MATCH(E28,Lookups!$J$6:$J$12,0)),"General Cargo"))</f>
        <v>Fish Catch</v>
      </c>
      <c r="T28" s="9">
        <f ca="1">MAX(YEAR(TODAY())-IF(Raw_Incidents!R28&lt;&gt;"",Raw_Incidents!R28,IFERROR(INDEX(Lookups!$N$6:$N$12,MATCH(E28,Lookups!$M$6:$M$12,0)),2010)),0)</f>
        <v>24</v>
      </c>
      <c r="U28" s="9">
        <f>Raw_Incidents!AW28</f>
        <v>0</v>
      </c>
      <c r="V28" s="9">
        <f>Raw_Incidents!AX28</f>
        <v>2</v>
      </c>
      <c r="W28" s="9">
        <f t="shared" si="4"/>
        <v>2</v>
      </c>
      <c r="X28" s="9">
        <f>IFERROR(INDEX(Lookups!$Q$6:$Q$9,MATCH(D28,Lookups!$P$6:$P$9,0)),1)</f>
        <v>3</v>
      </c>
      <c r="Y28" s="9">
        <f t="shared" si="5"/>
        <v>6</v>
      </c>
      <c r="Z28" s="5">
        <f>--OR(Raw_Incidents!J28&lt;&gt;"",Raw_Incidents!K28&lt;&gt;"")</f>
        <v>1</v>
      </c>
      <c r="AA28" s="5">
        <f>--AND(Raw_Incidents!AF28&lt;&gt;"",Raw_Incidents!AG28&lt;&gt;"")</f>
        <v>1</v>
      </c>
      <c r="AB28" s="5">
        <f>--AND(ISNUMBER(Raw_Incidents!Y28),ISNUMBER(Raw_Incidents!Z28),Raw_Incidents!AA28&lt;&gt;"")</f>
        <v>1</v>
      </c>
      <c r="AC28" s="5" t="str">
        <f>IF(Raw_Incidents!AH28&lt;&gt;"",Raw_Incidents!AH28,IF(AND(Raw_Incidents!AF28&lt;&gt;"",Raw_Incidents!AG28&lt;&gt;""),Raw_Incidents!AF28&amp;" to "&amp;Raw_Incidents!AG28,"Route pending"))</f>
        <v>West Palawan coastal approach lane</v>
      </c>
      <c r="AD28" s="10">
        <f>ROUND((--(B28&lt;&gt;"")+--(C28&lt;&gt;"")+--(D28&lt;&gt;"")+--(Raw_Incidents!S28&lt;&gt;"")+--(Raw_Incidents!T28&lt;&gt;"")+--(Raw_Incidents!U28&lt;&gt;"")+--(H28&lt;&gt;"")+AB28+--(Raw_Incidents!F28&lt;&gt;"")+--(Raw_Incidents!I28&lt;&gt;"")+Z28+AA28+--(Raw_Incidents!AI28&lt;&gt;"")+--(Raw_Incidents!AN28&lt;&gt;"")+--(F28&lt;&gt;""))/15*100,0)</f>
        <v>100</v>
      </c>
      <c r="AE28" s="5">
        <f>--(Raw_Incidents!AZ28&lt;&gt;"")</f>
        <v>1</v>
      </c>
      <c r="AF28" s="5">
        <f t="shared" si="6"/>
        <v>1</v>
      </c>
      <c r="AG28" s="5" t="str">
        <f>Raw_Incidents!AN28</f>
        <v>Fishing vessel collided with a fast coastal passenger craft near the Puerto Princesa western approach.</v>
      </c>
      <c r="AH28" s="5" t="str">
        <f>Raw_Incidents!F28</f>
        <v>FB Santa Rosa</v>
      </c>
      <c r="AI28" s="5">
        <f>Raw_Incidents!S28</f>
        <v>9.6820000000000004</v>
      </c>
      <c r="AJ28" s="5">
        <f>Raw_Incidents!T28</f>
        <v>118.486</v>
      </c>
      <c r="AK28" s="5" t="str">
        <f>Raw_Incidents!AL28</f>
        <v>Email Intake</v>
      </c>
    </row>
    <row r="29" spans="1:37" x14ac:dyDescent="0.25">
      <c r="A29" s="5" t="str">
        <f>Raw_Incidents!A29</f>
        <v>INC-2026-000044</v>
      </c>
      <c r="B29" s="6">
        <f>Raw_Incidents!B29</f>
        <v>46046.097916666673</v>
      </c>
      <c r="C29" s="5" t="str">
        <f>Raw_Incidents!C29</f>
        <v>Grounding</v>
      </c>
      <c r="D29" s="5" t="str">
        <f>Raw_Incidents!E29</f>
        <v>Less Serious</v>
      </c>
      <c r="E29" s="5" t="str">
        <f>Raw_Incidents!H29</f>
        <v>Container Ship</v>
      </c>
      <c r="F29" s="5" t="str">
        <f>Raw_Incidents!AK29</f>
        <v>MARINA</v>
      </c>
      <c r="G29" s="5" t="str">
        <f>Raw_Incidents!AM29</f>
        <v>Verified</v>
      </c>
      <c r="H29" s="5" t="str">
        <f>Raw_Incidents!V29</f>
        <v>Davao del Sur</v>
      </c>
      <c r="I29" s="5" t="str">
        <f>IF(Raw_Incidents!W29&lt;&gt;"",Raw_Incidents!W29,Raw_Incidents!U29)</f>
        <v>Davao Gulf</v>
      </c>
      <c r="J29" s="5" t="str">
        <f>IF(Raw_Incidents!X29&lt;&gt;"",Raw_Incidents!X29,IF(Raw_Incidents!AH29&lt;&gt;"",Raw_Incidents!AH29,IF(AND(Raw_Incidents!AF29&lt;&gt;"",Raw_Incidents!AG29&lt;&gt;""),Raw_Incidents!AF29&amp;" to "&amp;Raw_Incidents!AG29,"Corridor pending")))</f>
        <v>Samal-Davao Pilotage Route</v>
      </c>
      <c r="K29" s="5" t="str">
        <f>IFERROR(INDEX(Lookups!$B$6:$B$19,MATCH(Raw_Incidents!V29,Lookups!$A$6:$A$19,0)),"National")</f>
        <v>Mindanao</v>
      </c>
      <c r="L29" s="5" t="str">
        <f>Raw_Incidents!AA29</f>
        <v>Good</v>
      </c>
      <c r="M29" s="5" t="str">
        <f t="shared" si="0"/>
        <v>Jan 26</v>
      </c>
      <c r="N29" s="5" t="str">
        <f t="shared" si="1"/>
        <v>2026-01</v>
      </c>
      <c r="O29" s="5">
        <f t="shared" si="2"/>
        <v>2026</v>
      </c>
      <c r="P29" s="5" t="str">
        <f t="shared" si="3"/>
        <v>Northeast Monsoon</v>
      </c>
      <c r="Q29" s="5" t="str">
        <f>IF(Raw_Incidents!AR29&lt;&gt;"",Raw_Incidents!AR29,IFERROR(INDEX(Lookups!$E$6:$E$15,MATCH(C29,Lookups!$D$6:$D$15,0)),"Under Investigation"))</f>
        <v>Navigation Error</v>
      </c>
      <c r="R29" s="5" t="str">
        <f>IF(Raw_Incidents!AQ29&lt;&gt;"",Raw_Incidents!AQ29,IFERROR(INDEX(Lookups!$H$6:$H$10,MATCH(Q29,Lookups!$G$6:$G$10,0)),""))</f>
        <v>Violation of Procedures</v>
      </c>
      <c r="S29" s="5" t="str">
        <f>IF(Raw_Incidents!AI29&lt;&gt;"",Raw_Incidents!AI29,IFERROR(INDEX(Lookups!$K$6:$K$12,MATCH(E29,Lookups!$J$6:$J$12,0)),"General Cargo"))</f>
        <v>Containers</v>
      </c>
      <c r="T29" s="9">
        <f ca="1">MAX(YEAR(TODAY())-IF(Raw_Incidents!R29&lt;&gt;"",Raw_Incidents!R29,IFERROR(INDEX(Lookups!$N$6:$N$12,MATCH(E29,Lookups!$M$6:$M$12,0)),2010)),0)</f>
        <v>16</v>
      </c>
      <c r="U29" s="9">
        <f>Raw_Incidents!AW29</f>
        <v>0</v>
      </c>
      <c r="V29" s="9">
        <f>Raw_Incidents!AX29</f>
        <v>0</v>
      </c>
      <c r="W29" s="9">
        <f t="shared" si="4"/>
        <v>0</v>
      </c>
      <c r="X29" s="9">
        <f>IFERROR(INDEX(Lookups!$Q$6:$Q$9,MATCH(D29,Lookups!$P$6:$P$9,0)),1)</f>
        <v>2</v>
      </c>
      <c r="Y29" s="9">
        <f t="shared" si="5"/>
        <v>2</v>
      </c>
      <c r="Z29" s="5">
        <f>--OR(Raw_Incidents!J29&lt;&gt;"",Raw_Incidents!K29&lt;&gt;"")</f>
        <v>1</v>
      </c>
      <c r="AA29" s="5">
        <f>--AND(Raw_Incidents!AF29&lt;&gt;"",Raw_Incidents!AG29&lt;&gt;"")</f>
        <v>1</v>
      </c>
      <c r="AB29" s="5">
        <f>--AND(ISNUMBER(Raw_Incidents!Y29),ISNUMBER(Raw_Incidents!Z29),Raw_Incidents!AA29&lt;&gt;"")</f>
        <v>1</v>
      </c>
      <c r="AC29" s="5" t="str">
        <f>IF(Raw_Incidents!AH29&lt;&gt;"",Raw_Incidents!AH29,IF(AND(Raw_Incidents!AF29&lt;&gt;"",Raw_Incidents!AG29&lt;&gt;""),Raw_Incidents!AF29&amp;" to "&amp;Raw_Incidents!AG29,"Route pending"))</f>
        <v>Davao Gulf northbound merchant lane</v>
      </c>
      <c r="AD29" s="10">
        <f>ROUND((--(B29&lt;&gt;"")+--(C29&lt;&gt;"")+--(D29&lt;&gt;"")+--(Raw_Incidents!S29&lt;&gt;"")+--(Raw_Incidents!T29&lt;&gt;"")+--(Raw_Incidents!U29&lt;&gt;"")+--(H29&lt;&gt;"")+AB29+--(Raw_Incidents!F29&lt;&gt;"")+--(Raw_Incidents!I29&lt;&gt;"")+Z29+AA29+--(Raw_Incidents!AI29&lt;&gt;"")+--(Raw_Incidents!AN29&lt;&gt;"")+--(F29&lt;&gt;""))/15*100,0)</f>
        <v>100</v>
      </c>
      <c r="AE29" s="5">
        <f>--(Raw_Incidents!AZ29&lt;&gt;"")</f>
        <v>1</v>
      </c>
      <c r="AF29" s="5">
        <f t="shared" si="6"/>
        <v>1</v>
      </c>
      <c r="AG29" s="5" t="str">
        <f>Raw_Incidents!AN29</f>
        <v>Container ship brushed soft bottom while aligning with the pilot boarding lane in Davao Gulf.</v>
      </c>
      <c r="AH29" s="5" t="str">
        <f>Raw_Incidents!F29</f>
        <v>MV Cargo Link</v>
      </c>
      <c r="AI29" s="5">
        <f>Raw_Incidents!S29</f>
        <v>6.8460000000000001</v>
      </c>
      <c r="AJ29" s="5">
        <f>Raw_Incidents!T29</f>
        <v>125.721</v>
      </c>
      <c r="AK29" s="5" t="str">
        <f>Raw_Incidents!AL29</f>
        <v>Web Portal</v>
      </c>
    </row>
    <row r="30" spans="1:37" x14ac:dyDescent="0.25">
      <c r="A30" s="5" t="str">
        <f>Raw_Incidents!A30</f>
        <v>INC-2026-000062</v>
      </c>
      <c r="B30" s="6">
        <f>Raw_Incidents!B30</f>
        <v>46064.824999999997</v>
      </c>
      <c r="C30" s="5" t="str">
        <f>Raw_Incidents!C30</f>
        <v>Machinery Failure</v>
      </c>
      <c r="D30" s="5" t="str">
        <f>Raw_Incidents!E30</f>
        <v>Serious</v>
      </c>
      <c r="E30" s="5" t="str">
        <f>Raw_Incidents!H30</f>
        <v>Ferry</v>
      </c>
      <c r="F30" s="5" t="str">
        <f>Raw_Incidents!AK30</f>
        <v>PCG</v>
      </c>
      <c r="G30" s="5" t="str">
        <f>Raw_Incidents!AM30</f>
        <v>Under Review</v>
      </c>
      <c r="H30" s="5" t="str">
        <f>Raw_Incidents!V30</f>
        <v>Sorsogon</v>
      </c>
      <c r="I30" s="5" t="str">
        <f>IF(Raw_Incidents!W30&lt;&gt;"",Raw_Incidents!W30,Raw_Incidents!U30)</f>
        <v>San Bernardino Strait</v>
      </c>
      <c r="J30" s="5" t="str">
        <f>IF(Raw_Incidents!X30&lt;&gt;"",Raw_Incidents!X30,IF(Raw_Incidents!AH30&lt;&gt;"",Raw_Incidents!AH30,IF(AND(Raw_Incidents!AF30&lt;&gt;"",Raw_Incidents!AG30&lt;&gt;""),Raw_Incidents!AF30&amp;" to "&amp;Raw_Incidents!AG30,"Corridor pending")))</f>
        <v>Matnog-Allen Ferry Transit</v>
      </c>
      <c r="K30" s="5" t="str">
        <f>IFERROR(INDEX(Lookups!$B$6:$B$19,MATCH(Raw_Incidents!V30,Lookups!$A$6:$A$19,0)),"National")</f>
        <v>Luzon</v>
      </c>
      <c r="L30" s="5" t="str">
        <f>Raw_Incidents!AA30</f>
        <v>Moderate</v>
      </c>
      <c r="M30" s="5" t="str">
        <f t="shared" si="0"/>
        <v>Feb 26</v>
      </c>
      <c r="N30" s="5" t="str">
        <f t="shared" si="1"/>
        <v>2026-02</v>
      </c>
      <c r="O30" s="5">
        <f t="shared" si="2"/>
        <v>2026</v>
      </c>
      <c r="P30" s="5" t="str">
        <f t="shared" si="3"/>
        <v>Northeast Monsoon</v>
      </c>
      <c r="Q30" s="5" t="str">
        <f>IF(Raw_Incidents!AR30&lt;&gt;"",Raw_Incidents!AR30,IFERROR(INDEX(Lookups!$E$6:$E$15,MATCH(C30,Lookups!$D$6:$D$15,0)),"Under Investigation"))</f>
        <v>Mechanical Failure</v>
      </c>
      <c r="R30" s="5" t="str">
        <f>IF(Raw_Incidents!AQ30&lt;&gt;"",Raw_Incidents!AQ30,IFERROR(INDEX(Lookups!$H$6:$H$10,MATCH(Q30,Lookups!$G$6:$G$10,0)),""))</f>
        <v>Inadequate Training</v>
      </c>
      <c r="S30" s="5" t="str">
        <f>IF(Raw_Incidents!AI30&lt;&gt;"",Raw_Incidents!AI30,IFERROR(INDEX(Lookups!$K$6:$K$12,MATCH(E30,Lookups!$J$6:$J$12,0)),"General Cargo"))</f>
        <v>Passengers</v>
      </c>
      <c r="T30" s="9">
        <f ca="1">MAX(YEAR(TODAY())-IF(Raw_Incidents!R30&lt;&gt;"",Raw_Incidents!R30,IFERROR(INDEX(Lookups!$N$6:$N$12,MATCH(E30,Lookups!$M$6:$M$12,0)),2010)),0)</f>
        <v>13</v>
      </c>
      <c r="U30" s="9">
        <f>Raw_Incidents!AW30</f>
        <v>0</v>
      </c>
      <c r="V30" s="9">
        <f>Raw_Incidents!AX30</f>
        <v>3</v>
      </c>
      <c r="W30" s="9">
        <f t="shared" si="4"/>
        <v>3</v>
      </c>
      <c r="X30" s="9">
        <f>IFERROR(INDEX(Lookups!$Q$6:$Q$9,MATCH(D30,Lookups!$P$6:$P$9,0)),1)</f>
        <v>3</v>
      </c>
      <c r="Y30" s="9">
        <f t="shared" si="5"/>
        <v>9</v>
      </c>
      <c r="Z30" s="5">
        <f>--OR(Raw_Incidents!J30&lt;&gt;"",Raw_Incidents!K30&lt;&gt;"")</f>
        <v>1</v>
      </c>
      <c r="AA30" s="5">
        <f>--AND(Raw_Incidents!AF30&lt;&gt;"",Raw_Incidents!AG30&lt;&gt;"")</f>
        <v>1</v>
      </c>
      <c r="AB30" s="5">
        <f>--AND(ISNUMBER(Raw_Incidents!Y30),ISNUMBER(Raw_Incidents!Z30),Raw_Incidents!AA30&lt;&gt;"")</f>
        <v>1</v>
      </c>
      <c r="AC30" s="5" t="str">
        <f>IF(Raw_Incidents!AH30&lt;&gt;"",Raw_Incidents!AH30,IF(AND(Raw_Incidents!AF30&lt;&gt;"",Raw_Incidents!AG30&lt;&gt;""),Raw_Incidents!AF30&amp;" to "&amp;Raw_Incidents!AG30,"Route pending"))</f>
        <v>San Bernardino inter-island ferry route</v>
      </c>
      <c r="AD30" s="10">
        <f>ROUND((--(B30&lt;&gt;"")+--(C30&lt;&gt;"")+--(D30&lt;&gt;"")+--(Raw_Incidents!S30&lt;&gt;"")+--(Raw_Incidents!T30&lt;&gt;"")+--(Raw_Incidents!U30&lt;&gt;"")+--(H30&lt;&gt;"")+AB30+--(Raw_Incidents!F30&lt;&gt;"")+--(Raw_Incidents!I30&lt;&gt;"")+Z30+AA30+--(Raw_Incidents!AI30&lt;&gt;"")+--(Raw_Incidents!AN30&lt;&gt;"")+--(F30&lt;&gt;""))/15*100,0)</f>
        <v>100</v>
      </c>
      <c r="AE30" s="5">
        <f>--(Raw_Incidents!AZ30&lt;&gt;"")</f>
        <v>1</v>
      </c>
      <c r="AF30" s="5">
        <f t="shared" si="6"/>
        <v>0</v>
      </c>
      <c r="AG30" s="5" t="str">
        <f>Raw_Incidents!AN30</f>
        <v>RoRo ferry lost one propulsion line while transiting the central San Bernardino Strait lane.</v>
      </c>
      <c r="AH30" s="5" t="str">
        <f>Raw_Incidents!F30</f>
        <v>MV Samar Venture</v>
      </c>
      <c r="AI30" s="5">
        <f>Raw_Incidents!S30</f>
        <v>12.79</v>
      </c>
      <c r="AJ30" s="5">
        <f>Raw_Incidents!T30</f>
        <v>124.377</v>
      </c>
      <c r="AK30" s="5" t="str">
        <f>Raw_Incidents!AL30</f>
        <v>Mobile App</v>
      </c>
    </row>
    <row r="31" spans="1:37" x14ac:dyDescent="0.25">
      <c r="A31" s="5" t="str">
        <f>Raw_Incidents!A31</f>
        <v>INC-2026-000083</v>
      </c>
      <c r="B31" s="6">
        <f>Raw_Incidents!B31</f>
        <v>46080.247916666667</v>
      </c>
      <c r="C31" s="5" t="str">
        <f>Raw_Incidents!C31</f>
        <v>Fire/Explosion</v>
      </c>
      <c r="D31" s="5" t="str">
        <f>Raw_Incidents!E31</f>
        <v>Very Serious</v>
      </c>
      <c r="E31" s="5" t="str">
        <f>Raw_Incidents!H31</f>
        <v>Oil Tanker</v>
      </c>
      <c r="F31" s="5" t="str">
        <f>Raw_Incidents!AK31</f>
        <v>MARINA</v>
      </c>
      <c r="G31" s="5" t="str">
        <f>Raw_Incidents!AM31</f>
        <v>Published</v>
      </c>
      <c r="H31" s="5" t="str">
        <f>Raw_Incidents!V31</f>
        <v>Misamis Oriental</v>
      </c>
      <c r="I31" s="5" t="str">
        <f>IF(Raw_Incidents!W31&lt;&gt;"",Raw_Incidents!W31,Raw_Incidents!U31)</f>
        <v>Macajalar Bay</v>
      </c>
      <c r="J31" s="5" t="str">
        <f>IF(Raw_Incidents!X31&lt;&gt;"",Raw_Incidents!X31,IF(Raw_Incidents!AH31&lt;&gt;"",Raw_Incidents!AH31,IF(AND(Raw_Incidents!AF31&lt;&gt;"",Raw_Incidents!AG31&lt;&gt;""),Raw_Incidents!AF31&amp;" to "&amp;Raw_Incidents!AG31,"Corridor pending")))</f>
        <v>Macajalar Bay Bulk Access Lane</v>
      </c>
      <c r="K31" s="5" t="str">
        <f>IFERROR(INDEX(Lookups!$B$6:$B$19,MATCH(Raw_Incidents!V31,Lookups!$A$6:$A$19,0)),"National")</f>
        <v>Mindanao</v>
      </c>
      <c r="L31" s="5" t="str">
        <f>Raw_Incidents!AA31</f>
        <v>Good</v>
      </c>
      <c r="M31" s="5" t="str">
        <f t="shared" si="0"/>
        <v>Feb 26</v>
      </c>
      <c r="N31" s="5" t="str">
        <f t="shared" si="1"/>
        <v>2026-02</v>
      </c>
      <c r="O31" s="5">
        <f t="shared" si="2"/>
        <v>2026</v>
      </c>
      <c r="P31" s="5" t="str">
        <f t="shared" si="3"/>
        <v>Northeast Monsoon</v>
      </c>
      <c r="Q31" s="5" t="str">
        <f>IF(Raw_Incidents!AR31&lt;&gt;"",Raw_Incidents!AR31,IFERROR(INDEX(Lookups!$E$6:$E$15,MATCH(C31,Lookups!$D$6:$D$15,0)),"Under Investigation"))</f>
        <v>Mechanical Failure</v>
      </c>
      <c r="R31" s="5" t="str">
        <f>IF(Raw_Incidents!AQ31&lt;&gt;"",Raw_Incidents!AQ31,IFERROR(INDEX(Lookups!$H$6:$H$10,MATCH(Q31,Lookups!$G$6:$G$10,0)),""))</f>
        <v>Inadequate Training</v>
      </c>
      <c r="S31" s="5" t="str">
        <f>IF(Raw_Incidents!AI31&lt;&gt;"",Raw_Incidents!AI31,IFERROR(INDEX(Lookups!$K$6:$K$12,MATCH(E31,Lookups!$J$6:$J$12,0)),"General Cargo"))</f>
        <v>Fuel / Oil</v>
      </c>
      <c r="T31" s="9">
        <f ca="1">MAX(YEAR(TODAY())-IF(Raw_Incidents!R31&lt;&gt;"",Raw_Incidents!R31,IFERROR(INDEX(Lookups!$N$6:$N$12,MATCH(E31,Lookups!$M$6:$M$12,0)),2010)),0)</f>
        <v>14</v>
      </c>
      <c r="U31" s="9">
        <f>Raw_Incidents!AW31</f>
        <v>1</v>
      </c>
      <c r="V31" s="9">
        <f>Raw_Incidents!AX31</f>
        <v>5</v>
      </c>
      <c r="W31" s="9">
        <f t="shared" si="4"/>
        <v>6</v>
      </c>
      <c r="X31" s="9">
        <f>IFERROR(INDEX(Lookups!$Q$6:$Q$9,MATCH(D31,Lookups!$P$6:$P$9,0)),1)</f>
        <v>4</v>
      </c>
      <c r="Y31" s="9">
        <f t="shared" si="5"/>
        <v>24</v>
      </c>
      <c r="Z31" s="5">
        <f>--OR(Raw_Incidents!J31&lt;&gt;"",Raw_Incidents!K31&lt;&gt;"")</f>
        <v>1</v>
      </c>
      <c r="AA31" s="5">
        <f>--AND(Raw_Incidents!AF31&lt;&gt;"",Raw_Incidents!AG31&lt;&gt;"")</f>
        <v>1</v>
      </c>
      <c r="AB31" s="5">
        <f>--AND(ISNUMBER(Raw_Incidents!Y31),ISNUMBER(Raw_Incidents!Z31),Raw_Incidents!AA31&lt;&gt;"")</f>
        <v>1</v>
      </c>
      <c r="AC31" s="5" t="str">
        <f>IF(Raw_Incidents!AH31&lt;&gt;"",Raw_Incidents!AH31,IF(AND(Raw_Incidents!AF31&lt;&gt;"",Raw_Incidents!AG31&lt;&gt;""),Raw_Incidents!AF31&amp;" to "&amp;Raw_Incidents!AG31,"Route pending"))</f>
        <v>Macajalar Bay industrial shipping lane</v>
      </c>
      <c r="AD31" s="10">
        <f>ROUND((--(B31&lt;&gt;"")+--(C31&lt;&gt;"")+--(D31&lt;&gt;"")+--(Raw_Incidents!S31&lt;&gt;"")+--(Raw_Incidents!T31&lt;&gt;"")+--(Raw_Incidents!U31&lt;&gt;"")+--(H31&lt;&gt;"")+AB31+--(Raw_Incidents!F31&lt;&gt;"")+--(Raw_Incidents!I31&lt;&gt;"")+Z31+AA31+--(Raw_Incidents!AI31&lt;&gt;"")+--(Raw_Incidents!AN31&lt;&gt;"")+--(F31&lt;&gt;""))/15*100,0)</f>
        <v>100</v>
      </c>
      <c r="AE31" s="5">
        <f>--(Raw_Incidents!AZ31&lt;&gt;"")</f>
        <v>1</v>
      </c>
      <c r="AF31" s="5">
        <f t="shared" si="6"/>
        <v>1</v>
      </c>
      <c r="AG31" s="5" t="str">
        <f>Raw_Incidents!AN31</f>
        <v>Cargo pump motor fire escalated during pre-discharge checks at the outer Macajalar Bay anchorage.</v>
      </c>
      <c r="AH31" s="5" t="str">
        <f>Raw_Incidents!F31</f>
        <v>MT Southern Crest</v>
      </c>
      <c r="AI31" s="5">
        <f>Raw_Incidents!S31</f>
        <v>8.5519999999999996</v>
      </c>
      <c r="AJ31" s="5">
        <f>Raw_Incidents!T31</f>
        <v>124.768</v>
      </c>
      <c r="AK31" s="5" t="str">
        <f>Raw_Incidents!AL31</f>
        <v>Inter-agency Intake</v>
      </c>
    </row>
    <row r="32" spans="1:37" x14ac:dyDescent="0.25">
      <c r="A32" s="5" t="str">
        <f>Raw_Incidents!A32</f>
        <v>INC-2026-000101</v>
      </c>
      <c r="B32" s="6">
        <f>Raw_Incidents!B32</f>
        <v>46091.277777777781</v>
      </c>
      <c r="C32" s="5" t="str">
        <f>Raw_Incidents!C32</f>
        <v>Collision</v>
      </c>
      <c r="D32" s="5" t="str">
        <f>Raw_Incidents!E32</f>
        <v>Very Serious</v>
      </c>
      <c r="E32" s="5" t="str">
        <f>Raw_Incidents!H32</f>
        <v>Bulk Carrier</v>
      </c>
      <c r="F32" s="5" t="str">
        <f>Raw_Incidents!AK32</f>
        <v>MARINA</v>
      </c>
      <c r="G32" s="5" t="str">
        <f>Raw_Incidents!AM32</f>
        <v>Under Review</v>
      </c>
      <c r="H32" s="5" t="str">
        <f>Raw_Incidents!V32</f>
        <v>Metro Manila</v>
      </c>
      <c r="I32" s="5" t="str">
        <f>IF(Raw_Incidents!W32&lt;&gt;"",Raw_Incidents!W32,Raw_Incidents!U32)</f>
        <v>Manila Bay</v>
      </c>
      <c r="J32" s="5" t="str">
        <f>IF(Raw_Incidents!X32&lt;&gt;"",Raw_Incidents!X32,IF(Raw_Incidents!AH32&lt;&gt;"",Raw_Incidents!AH32,IF(AND(Raw_Incidents!AF32&lt;&gt;"",Raw_Incidents!AG32&lt;&gt;""),Raw_Incidents!AF32&amp;" to "&amp;Raw_Incidents!AG32,"Corridor pending")))</f>
        <v>Manila Bay South Approach</v>
      </c>
      <c r="K32" s="5" t="str">
        <f>IFERROR(INDEX(Lookups!$B$6:$B$19,MATCH(Raw_Incidents!V32,Lookups!$A$6:$A$19,0)),"National")</f>
        <v>Luzon</v>
      </c>
      <c r="L32" s="5" t="str">
        <f>Raw_Incidents!AA32</f>
        <v>Poor</v>
      </c>
      <c r="M32" s="5" t="str">
        <f t="shared" si="0"/>
        <v>Mar 26</v>
      </c>
      <c r="N32" s="5" t="str">
        <f t="shared" si="1"/>
        <v>2026-03</v>
      </c>
      <c r="O32" s="5">
        <f t="shared" si="2"/>
        <v>2026</v>
      </c>
      <c r="P32" s="5" t="str">
        <f t="shared" si="3"/>
        <v>Transition Season</v>
      </c>
      <c r="Q32" s="5" t="str">
        <f>IF(Raw_Incidents!AR32&lt;&gt;"",Raw_Incidents!AR32,IFERROR(INDEX(Lookups!$E$6:$E$15,MATCH(C32,Lookups!$D$6:$D$15,0)),"Under Investigation"))</f>
        <v>Navigation Error</v>
      </c>
      <c r="R32" s="5" t="str">
        <f>IF(Raw_Incidents!AQ32&lt;&gt;"",Raw_Incidents!AQ32,IFERROR(INDEX(Lookups!$H$6:$H$10,MATCH(Q32,Lookups!$G$6:$G$10,0)),""))</f>
        <v>Communication Failure | Violation of Procedures</v>
      </c>
      <c r="S32" s="5" t="str">
        <f>IF(Raw_Incidents!AI32&lt;&gt;"",Raw_Incidents!AI32,IFERROR(INDEX(Lookups!$K$6:$K$12,MATCH(E32,Lookups!$J$6:$J$12,0)),"General Cargo"))</f>
        <v>Bulk cargo</v>
      </c>
      <c r="T32" s="9">
        <f ca="1">MAX(YEAR(TODAY())-IF(Raw_Incidents!R32&lt;&gt;"",Raw_Incidents!R32,IFERROR(INDEX(Lookups!$N$6:$N$12,MATCH(E32,Lookups!$M$6:$M$12,0)),2010)),0)</f>
        <v>20</v>
      </c>
      <c r="U32" s="9">
        <f>Raw_Incidents!AW32</f>
        <v>3</v>
      </c>
      <c r="V32" s="9">
        <f>Raw_Incidents!AX32</f>
        <v>7</v>
      </c>
      <c r="W32" s="9">
        <f t="shared" si="4"/>
        <v>10</v>
      </c>
      <c r="X32" s="9">
        <f>IFERROR(INDEX(Lookups!$Q$6:$Q$9,MATCH(D32,Lookups!$P$6:$P$9,0)),1)</f>
        <v>4</v>
      </c>
      <c r="Y32" s="9">
        <f t="shared" si="5"/>
        <v>40</v>
      </c>
      <c r="Z32" s="5">
        <f>--OR(Raw_Incidents!J32&lt;&gt;"",Raw_Incidents!K32&lt;&gt;"")</f>
        <v>1</v>
      </c>
      <c r="AA32" s="5">
        <f>--AND(Raw_Incidents!AF32&lt;&gt;"",Raw_Incidents!AG32&lt;&gt;"")</f>
        <v>1</v>
      </c>
      <c r="AB32" s="5">
        <f>--AND(ISNUMBER(Raw_Incidents!Y32),ISNUMBER(Raw_Incidents!Z32),Raw_Incidents!AA32&lt;&gt;"")</f>
        <v>1</v>
      </c>
      <c r="AC32" s="5" t="str">
        <f>IF(Raw_Incidents!AH32&lt;&gt;"",Raw_Incidents!AH32,IF(AND(Raw_Incidents!AF32&lt;&gt;"",Raw_Incidents!AG32&lt;&gt;""),Raw_Incidents!AF32&amp;" to "&amp;Raw_Incidents!AG32,"Route pending"))</f>
        <v>Batangas-Manila gateway lane</v>
      </c>
      <c r="AD32" s="10">
        <f>ROUND((--(B32&lt;&gt;"")+--(C32&lt;&gt;"")+--(D32&lt;&gt;"")+--(Raw_Incidents!S32&lt;&gt;"")+--(Raw_Incidents!T32&lt;&gt;"")+--(Raw_Incidents!U32&lt;&gt;"")+--(H32&lt;&gt;"")+AB32+--(Raw_Incidents!F32&lt;&gt;"")+--(Raw_Incidents!I32&lt;&gt;"")+Z32+AA32+--(Raw_Incidents!AI32&lt;&gt;"")+--(Raw_Incidents!AN32&lt;&gt;"")+--(F32&lt;&gt;""))/15*100,0)</f>
        <v>100</v>
      </c>
      <c r="AE32" s="5">
        <f>--(Raw_Incidents!AZ32&lt;&gt;"")</f>
        <v>1</v>
      </c>
      <c r="AF32" s="5">
        <f t="shared" si="6"/>
        <v>0</v>
      </c>
      <c r="AG32" s="5" t="str">
        <f>Raw_Incidents!AN32</f>
        <v>Bulk carrier struck a wooden fishing vessel south of Corregidor while inbound through the Manila Bay gateway.</v>
      </c>
      <c r="AH32" s="5" t="str">
        <f>Raw_Incidents!F32</f>
        <v>MV Pacific Trader</v>
      </c>
      <c r="AI32" s="5">
        <f>Raw_Incidents!S32</f>
        <v>14.404999999999999</v>
      </c>
      <c r="AJ32" s="5">
        <f>Raw_Incidents!T32</f>
        <v>120.839</v>
      </c>
      <c r="AK32" s="5" t="str">
        <f>Raw_Incidents!AL32</f>
        <v>Inter-agency Intake</v>
      </c>
    </row>
    <row r="33" spans="1:37" x14ac:dyDescent="0.25">
      <c r="A33" s="5" t="str">
        <f>Raw_Incidents!A33</f>
        <v>INC-2026-000118</v>
      </c>
      <c r="B33" s="6">
        <f>Raw_Incidents!B33</f>
        <v>46104.630555555559</v>
      </c>
      <c r="C33" s="5" t="str">
        <f>Raw_Incidents!C33</f>
        <v>Person Overboard</v>
      </c>
      <c r="D33" s="5" t="str">
        <f>Raw_Incidents!E33</f>
        <v>Serious</v>
      </c>
      <c r="E33" s="5" t="str">
        <f>Raw_Incidents!H33</f>
        <v>Ferry</v>
      </c>
      <c r="F33" s="5" t="str">
        <f>Raw_Incidents!AK33</f>
        <v>PCG</v>
      </c>
      <c r="G33" s="5" t="str">
        <f>Raw_Incidents!AM33</f>
        <v>Published</v>
      </c>
      <c r="H33" s="5" t="str">
        <f>Raw_Incidents!V33</f>
        <v>Bohol</v>
      </c>
      <c r="I33" s="5" t="str">
        <f>IF(Raw_Incidents!W33&lt;&gt;"",Raw_Incidents!W33,Raw_Incidents!U33)</f>
        <v>Bohol Sea</v>
      </c>
      <c r="J33" s="5" t="str">
        <f>IF(Raw_Incidents!X33&lt;&gt;"",Raw_Incidents!X33,IF(Raw_Incidents!AH33&lt;&gt;"",Raw_Incidents!AH33,IF(AND(Raw_Incidents!AF33&lt;&gt;"",Raw_Incidents!AG33&lt;&gt;""),Raw_Incidents!AF33&amp;" to "&amp;Raw_Incidents!AG33,"Corridor pending")))</f>
        <v>Cebu-Bohol Passenger Corridor</v>
      </c>
      <c r="K33" s="5" t="str">
        <f>IFERROR(INDEX(Lookups!$B$6:$B$19,MATCH(Raw_Incidents!V33,Lookups!$A$6:$A$19,0)),"National")</f>
        <v>Visayas</v>
      </c>
      <c r="L33" s="5" t="str">
        <f>Raw_Incidents!AA33</f>
        <v>Moderate</v>
      </c>
      <c r="M33" s="5" t="str">
        <f t="shared" si="0"/>
        <v>Mar 26</v>
      </c>
      <c r="N33" s="5" t="str">
        <f t="shared" si="1"/>
        <v>2026-03</v>
      </c>
      <c r="O33" s="5">
        <f t="shared" si="2"/>
        <v>2026</v>
      </c>
      <c r="P33" s="5" t="str">
        <f t="shared" si="3"/>
        <v>Transition Season</v>
      </c>
      <c r="Q33" s="5" t="str">
        <f>IF(Raw_Incidents!AR33&lt;&gt;"",Raw_Incidents!AR33,IFERROR(INDEX(Lookups!$E$6:$E$15,MATCH(C33,Lookups!$D$6:$D$15,0)),"Under Investigation"))</f>
        <v>Human Error</v>
      </c>
      <c r="R33" s="5" t="str">
        <f>IF(Raw_Incidents!AQ33&lt;&gt;"",Raw_Incidents!AQ33,IFERROR(INDEX(Lookups!$H$6:$H$10,MATCH(Q33,Lookups!$G$6:$G$10,0)),""))</f>
        <v>Fatigue</v>
      </c>
      <c r="S33" s="5" t="str">
        <f>IF(Raw_Incidents!AI33&lt;&gt;"",Raw_Incidents!AI33,IFERROR(INDEX(Lookups!$K$6:$K$12,MATCH(E33,Lookups!$J$6:$J$12,0)),"General Cargo"))</f>
        <v>Passengers</v>
      </c>
      <c r="T33" s="9">
        <f ca="1">MAX(YEAR(TODAY())-IF(Raw_Incidents!R33&lt;&gt;"",Raw_Incidents!R33,IFERROR(INDEX(Lookups!$N$6:$N$12,MATCH(E33,Lookups!$M$6:$M$12,0)),2010)),0)</f>
        <v>16</v>
      </c>
      <c r="U33" s="9">
        <f>Raw_Incidents!AW33</f>
        <v>1</v>
      </c>
      <c r="V33" s="9">
        <f>Raw_Incidents!AX33</f>
        <v>0</v>
      </c>
      <c r="W33" s="9">
        <f t="shared" si="4"/>
        <v>1</v>
      </c>
      <c r="X33" s="9">
        <f>IFERROR(INDEX(Lookups!$Q$6:$Q$9,MATCH(D33,Lookups!$P$6:$P$9,0)),1)</f>
        <v>3</v>
      </c>
      <c r="Y33" s="9">
        <f t="shared" si="5"/>
        <v>3</v>
      </c>
      <c r="Z33" s="5">
        <f>--OR(Raw_Incidents!J33&lt;&gt;"",Raw_Incidents!K33&lt;&gt;"")</f>
        <v>1</v>
      </c>
      <c r="AA33" s="5">
        <f>--AND(Raw_Incidents!AF33&lt;&gt;"",Raw_Incidents!AG33&lt;&gt;"")</f>
        <v>1</v>
      </c>
      <c r="AB33" s="5">
        <f>--AND(ISNUMBER(Raw_Incidents!Y33),ISNUMBER(Raw_Incidents!Z33),Raw_Incidents!AA33&lt;&gt;"")</f>
        <v>1</v>
      </c>
      <c r="AC33" s="5" t="str">
        <f>IF(Raw_Incidents!AH33&lt;&gt;"",Raw_Incidents!AH33,IF(AND(Raw_Incidents!AF33&lt;&gt;"",Raw_Incidents!AG33&lt;&gt;""),Raw_Incidents!AF33&amp;" to "&amp;Raw_Incidents!AG33,"Route pending"))</f>
        <v>Cebu-Tagbilaran inter-island service lane</v>
      </c>
      <c r="AD33" s="10">
        <f>ROUND((--(B33&lt;&gt;"")+--(C33&lt;&gt;"")+--(D33&lt;&gt;"")+--(Raw_Incidents!S33&lt;&gt;"")+--(Raw_Incidents!T33&lt;&gt;"")+--(Raw_Incidents!U33&lt;&gt;"")+--(H33&lt;&gt;"")+AB33+--(Raw_Incidents!F33&lt;&gt;"")+--(Raw_Incidents!I33&lt;&gt;"")+Z33+AA33+--(Raw_Incidents!AI33&lt;&gt;"")+--(Raw_Incidents!AN33&lt;&gt;"")+--(F33&lt;&gt;""))/15*100,0)</f>
        <v>100</v>
      </c>
      <c r="AE33" s="5">
        <f>--(Raw_Incidents!AZ33&lt;&gt;"")</f>
        <v>1</v>
      </c>
      <c r="AF33" s="5">
        <f t="shared" si="6"/>
        <v>1</v>
      </c>
      <c r="AG33" s="5" t="str">
        <f>Raw_Incidents!AN33</f>
        <v>Passenger went overboard during afternoon transit between Cebu and Tagbilaran.</v>
      </c>
      <c r="AH33" s="5" t="str">
        <f>Raw_Incidents!F33</f>
        <v>MV SuperFerry 12</v>
      </c>
      <c r="AI33" s="5">
        <f>Raw_Incidents!S33</f>
        <v>9.8030000000000008</v>
      </c>
      <c r="AJ33" s="5">
        <f>Raw_Incidents!T33</f>
        <v>124.003</v>
      </c>
      <c r="AK33" s="5" t="str">
        <f>Raw_Incidents!AL33</f>
        <v>Mobile App</v>
      </c>
    </row>
    <row r="34" spans="1:37" x14ac:dyDescent="0.25">
      <c r="A34" s="5" t="str">
        <f>Raw_Incidents!A34</f>
        <v>INC-2026-000134</v>
      </c>
      <c r="B34" s="6">
        <f>Raw_Incidents!B34</f>
        <v>46117.313194444447</v>
      </c>
      <c r="C34" s="5" t="str">
        <f>Raw_Incidents!C34</f>
        <v>Flooding</v>
      </c>
      <c r="D34" s="5" t="str">
        <f>Raw_Incidents!E34</f>
        <v>Less Serious</v>
      </c>
      <c r="E34" s="5" t="str">
        <f>Raw_Incidents!H34</f>
        <v>Ferry</v>
      </c>
      <c r="F34" s="5" t="str">
        <f>Raw_Incidents!AK34</f>
        <v>PCG</v>
      </c>
      <c r="G34" s="5" t="str">
        <f>Raw_Incidents!AM34</f>
        <v>Verified</v>
      </c>
      <c r="H34" s="5" t="str">
        <f>Raw_Incidents!V34</f>
        <v>Iloilo</v>
      </c>
      <c r="I34" s="5" t="str">
        <f>IF(Raw_Incidents!W34&lt;&gt;"",Raw_Incidents!W34,Raw_Incidents!U34)</f>
        <v>Iloilo Strait</v>
      </c>
      <c r="J34" s="5" t="str">
        <f>IF(Raw_Incidents!X34&lt;&gt;"",Raw_Incidents!X34,IF(Raw_Incidents!AH34&lt;&gt;"",Raw_Incidents!AH34,IF(AND(Raw_Incidents!AF34&lt;&gt;"",Raw_Incidents!AG34&lt;&gt;""),Raw_Incidents!AF34&amp;" to "&amp;Raw_Incidents!AG34,"Corridor pending")))</f>
        <v>Iloilo-Guimaras Transit Lane</v>
      </c>
      <c r="K34" s="5" t="str">
        <f>IFERROR(INDEX(Lookups!$B$6:$B$19,MATCH(Raw_Incidents!V34,Lookups!$A$6:$A$19,0)),"National")</f>
        <v>Visayas</v>
      </c>
      <c r="L34" s="5" t="str">
        <f>Raw_Incidents!AA34</f>
        <v>Good</v>
      </c>
      <c r="M34" s="5" t="str">
        <f t="shared" si="0"/>
        <v>Apr 26</v>
      </c>
      <c r="N34" s="5" t="str">
        <f t="shared" si="1"/>
        <v>2026-04</v>
      </c>
      <c r="O34" s="5">
        <f t="shared" si="2"/>
        <v>2026</v>
      </c>
      <c r="P34" s="5" t="str">
        <f t="shared" si="3"/>
        <v>Transition Season</v>
      </c>
      <c r="Q34" s="5" t="str">
        <f>IF(Raw_Incidents!AR34&lt;&gt;"",Raw_Incidents!AR34,IFERROR(INDEX(Lookups!$E$6:$E$15,MATCH(C34,Lookups!$D$6:$D$15,0)),"Under Investigation"))</f>
        <v>Mechanical Failure</v>
      </c>
      <c r="R34" s="5" t="str">
        <f>IF(Raw_Incidents!AQ34&lt;&gt;"",Raw_Incidents!AQ34,IFERROR(INDEX(Lookups!$H$6:$H$10,MATCH(Q34,Lookups!$G$6:$G$10,0)),""))</f>
        <v>Inadequate Training</v>
      </c>
      <c r="S34" s="5" t="str">
        <f>IF(Raw_Incidents!AI34&lt;&gt;"",Raw_Incidents!AI34,IFERROR(INDEX(Lookups!$K$6:$K$12,MATCH(E34,Lookups!$J$6:$J$12,0)),"General Cargo"))</f>
        <v>Passengers</v>
      </c>
      <c r="T34" s="9">
        <f ca="1">MAX(YEAR(TODAY())-IF(Raw_Incidents!R34&lt;&gt;"",Raw_Incidents!R34,IFERROR(INDEX(Lookups!$N$6:$N$12,MATCH(E34,Lookups!$M$6:$M$12,0)),2010)),0)</f>
        <v>12</v>
      </c>
      <c r="U34" s="9">
        <f>Raw_Incidents!AW34</f>
        <v>0</v>
      </c>
      <c r="V34" s="9">
        <f>Raw_Incidents!AX34</f>
        <v>0</v>
      </c>
      <c r="W34" s="9">
        <f t="shared" si="4"/>
        <v>0</v>
      </c>
      <c r="X34" s="9">
        <f>IFERROR(INDEX(Lookups!$Q$6:$Q$9,MATCH(D34,Lookups!$P$6:$P$9,0)),1)</f>
        <v>2</v>
      </c>
      <c r="Y34" s="9">
        <f t="shared" si="5"/>
        <v>2</v>
      </c>
      <c r="Z34" s="5">
        <f>--OR(Raw_Incidents!J34&lt;&gt;"",Raw_Incidents!K34&lt;&gt;"")</f>
        <v>1</v>
      </c>
      <c r="AA34" s="5">
        <f>--AND(Raw_Incidents!AF34&lt;&gt;"",Raw_Incidents!AG34&lt;&gt;"")</f>
        <v>1</v>
      </c>
      <c r="AB34" s="5">
        <f>--AND(ISNUMBER(Raw_Incidents!Y34),ISNUMBER(Raw_Incidents!Z34),Raw_Incidents!AA34&lt;&gt;"")</f>
        <v>1</v>
      </c>
      <c r="AC34" s="5" t="str">
        <f>IF(Raw_Incidents!AH34&lt;&gt;"",Raw_Incidents!AH34,IF(AND(Raw_Incidents!AF34&lt;&gt;"",Raw_Incidents!AG34&lt;&gt;""),Raw_Incidents!AF34&amp;" to "&amp;Raw_Incidents!AG34,"Route pending"))</f>
        <v>Panay-Negros coastal ferry lane</v>
      </c>
      <c r="AD34" s="10">
        <f>ROUND((--(B34&lt;&gt;"")+--(C34&lt;&gt;"")+--(D34&lt;&gt;"")+--(Raw_Incidents!S34&lt;&gt;"")+--(Raw_Incidents!T34&lt;&gt;"")+--(Raw_Incidents!U34&lt;&gt;"")+--(H34&lt;&gt;"")+AB34+--(Raw_Incidents!F34&lt;&gt;"")+--(Raw_Incidents!I34&lt;&gt;"")+Z34+AA34+--(Raw_Incidents!AI34&lt;&gt;"")+--(Raw_Incidents!AN34&lt;&gt;"")+--(F34&lt;&gt;""))/15*100,0)</f>
        <v>100</v>
      </c>
      <c r="AE34" s="5">
        <f>--(Raw_Incidents!AZ34&lt;&gt;"")</f>
        <v>1</v>
      </c>
      <c r="AF34" s="5">
        <f t="shared" si="6"/>
        <v>1</v>
      </c>
      <c r="AG34" s="5" t="str">
        <f>Raw_Incidents!AN34</f>
        <v>Repeat flooding event was recorded on a RoRo ferry during another short-haul Iloilo Strait service.</v>
      </c>
      <c r="AH34" s="5" t="str">
        <f>Raw_Incidents!F34</f>
        <v>MV Island Hopper</v>
      </c>
      <c r="AI34" s="5">
        <f>Raw_Incidents!S34</f>
        <v>10.657999999999999</v>
      </c>
      <c r="AJ34" s="5">
        <f>Raw_Incidents!T34</f>
        <v>122.57</v>
      </c>
      <c r="AK34" s="5" t="str">
        <f>Raw_Incidents!AL34</f>
        <v>Email Intake</v>
      </c>
    </row>
    <row r="35" spans="1:37" x14ac:dyDescent="0.25">
      <c r="A35" s="5" t="str">
        <f>Raw_Incidents!A35</f>
        <v>INC-2026-000149</v>
      </c>
      <c r="B35" s="6">
        <f>Raw_Incidents!B35</f>
        <v>46131.998611111107</v>
      </c>
      <c r="C35" s="5" t="str">
        <f>Raw_Incidents!C35</f>
        <v>Grounding</v>
      </c>
      <c r="D35" s="5" t="str">
        <f>Raw_Incidents!E35</f>
        <v>Serious</v>
      </c>
      <c r="E35" s="5" t="str">
        <f>Raw_Incidents!H35</f>
        <v>General Cargo</v>
      </c>
      <c r="F35" s="5" t="str">
        <f>Raw_Incidents!AK35</f>
        <v>PCG</v>
      </c>
      <c r="G35" s="5" t="str">
        <f>Raw_Incidents!AM35</f>
        <v>Under Review</v>
      </c>
      <c r="H35" s="5" t="str">
        <f>Raw_Incidents!V35</f>
        <v>Batangas</v>
      </c>
      <c r="I35" s="5" t="str">
        <f>IF(Raw_Incidents!W35&lt;&gt;"",Raw_Incidents!W35,Raw_Incidents!U35)</f>
        <v>Verde Island Passage</v>
      </c>
      <c r="J35" s="5" t="str">
        <f>IF(Raw_Incidents!X35&lt;&gt;"",Raw_Incidents!X35,IF(Raw_Incidents!AH35&lt;&gt;"",Raw_Incidents!AH35,IF(AND(Raw_Incidents!AF35&lt;&gt;"",Raw_Incidents!AG35&lt;&gt;""),Raw_Incidents!AF35&amp;" to "&amp;Raw_Incidents!AG35,"Corridor pending")))</f>
        <v>Batangas-Calapan Transit Lane</v>
      </c>
      <c r="K35" s="5" t="str">
        <f>IFERROR(INDEX(Lookups!$B$6:$B$19,MATCH(Raw_Incidents!V35,Lookups!$A$6:$A$19,0)),"National")</f>
        <v>Luzon</v>
      </c>
      <c r="L35" s="5" t="str">
        <f>Raw_Incidents!AA35</f>
        <v>Moderate</v>
      </c>
      <c r="M35" s="5" t="str">
        <f t="shared" si="0"/>
        <v>Apr 26</v>
      </c>
      <c r="N35" s="5" t="str">
        <f t="shared" si="1"/>
        <v>2026-04</v>
      </c>
      <c r="O35" s="5">
        <f t="shared" si="2"/>
        <v>2026</v>
      </c>
      <c r="P35" s="5" t="str">
        <f t="shared" si="3"/>
        <v>Transition Season</v>
      </c>
      <c r="Q35" s="5" t="str">
        <f>IF(Raw_Incidents!AR35&lt;&gt;"",Raw_Incidents!AR35,IFERROR(INDEX(Lookups!$E$6:$E$15,MATCH(C35,Lookups!$D$6:$D$15,0)),"Under Investigation"))</f>
        <v>Navigation Error</v>
      </c>
      <c r="R35" s="5" t="str">
        <f>IF(Raw_Incidents!AQ35&lt;&gt;"",Raw_Incidents!AQ35,IFERROR(INDEX(Lookups!$H$6:$H$10,MATCH(Q35,Lookups!$G$6:$G$10,0)),""))</f>
        <v>Violation of Procedures | Fatigue</v>
      </c>
      <c r="S35" s="5" t="str">
        <f>IF(Raw_Incidents!AI35&lt;&gt;"",Raw_Incidents!AI35,IFERROR(INDEX(Lookups!$K$6:$K$12,MATCH(E35,Lookups!$J$6:$J$12,0)),"General Cargo"))</f>
        <v>General Cargo</v>
      </c>
      <c r="T35" s="9">
        <f ca="1">MAX(YEAR(TODAY())-IF(Raw_Incidents!R35&lt;&gt;"",Raw_Incidents!R35,IFERROR(INDEX(Lookups!$N$6:$N$12,MATCH(E35,Lookups!$M$6:$M$12,0)),2010)),0)</f>
        <v>11</v>
      </c>
      <c r="U35" s="9">
        <f>Raw_Incidents!AW35</f>
        <v>0</v>
      </c>
      <c r="V35" s="9">
        <f>Raw_Incidents!AX35</f>
        <v>2</v>
      </c>
      <c r="W35" s="9">
        <f t="shared" si="4"/>
        <v>2</v>
      </c>
      <c r="X35" s="9">
        <f>IFERROR(INDEX(Lookups!$Q$6:$Q$9,MATCH(D35,Lookups!$P$6:$P$9,0)),1)</f>
        <v>3</v>
      </c>
      <c r="Y35" s="9">
        <f t="shared" si="5"/>
        <v>6</v>
      </c>
      <c r="Z35" s="5">
        <f>--OR(Raw_Incidents!J35&lt;&gt;"",Raw_Incidents!K35&lt;&gt;"")</f>
        <v>1</v>
      </c>
      <c r="AA35" s="5">
        <f>--AND(Raw_Incidents!AF35&lt;&gt;"",Raw_Incidents!AG35&lt;&gt;"")</f>
        <v>1</v>
      </c>
      <c r="AB35" s="5">
        <f>--AND(ISNUMBER(Raw_Incidents!Y35),ISNUMBER(Raw_Incidents!Z35),Raw_Incidents!AA35&lt;&gt;"")</f>
        <v>1</v>
      </c>
      <c r="AC35" s="5" t="str">
        <f>IF(Raw_Incidents!AH35&lt;&gt;"",Raw_Incidents!AH35,IF(AND(Raw_Incidents!AF35&lt;&gt;"",Raw_Incidents!AG35&lt;&gt;""),Raw_Incidents!AF35&amp;" to "&amp;Raw_Incidents!AG35,"Route pending"))</f>
        <v>Verde Island Passage east-west corridor</v>
      </c>
      <c r="AD35" s="10">
        <f>ROUND((--(B35&lt;&gt;"")+--(C35&lt;&gt;"")+--(D35&lt;&gt;"")+--(Raw_Incidents!S35&lt;&gt;"")+--(Raw_Incidents!T35&lt;&gt;"")+--(Raw_Incidents!U35&lt;&gt;"")+--(H35&lt;&gt;"")+AB35+--(Raw_Incidents!F35&lt;&gt;"")+--(Raw_Incidents!I35&lt;&gt;"")+Z35+AA35+--(Raw_Incidents!AI35&lt;&gt;"")+--(Raw_Incidents!AN35&lt;&gt;"")+--(F35&lt;&gt;""))/15*100,0)</f>
        <v>100</v>
      </c>
      <c r="AE35" s="5">
        <f>--(Raw_Incidents!AZ35&lt;&gt;"")</f>
        <v>1</v>
      </c>
      <c r="AF35" s="5">
        <f t="shared" si="6"/>
        <v>0</v>
      </c>
      <c r="AG35" s="5" t="str">
        <f>Raw_Incidents!AN35</f>
        <v>General cargo vessel grounded again near the eastern Verde Passage after a night transit route deviation.</v>
      </c>
      <c r="AH35" s="5" t="str">
        <f>Raw_Incidents!F35</f>
        <v>MV Verde Logistics</v>
      </c>
      <c r="AI35" s="5">
        <f>Raw_Incidents!S35</f>
        <v>13.752000000000001</v>
      </c>
      <c r="AJ35" s="5">
        <f>Raw_Incidents!T35</f>
        <v>121.078</v>
      </c>
      <c r="AK35" s="5" t="str">
        <f>Raw_Incidents!AL35</f>
        <v>Web Portal</v>
      </c>
    </row>
    <row r="36" spans="1:37" x14ac:dyDescent="0.25">
      <c r="A36" s="5" t="str">
        <f>Raw_Incidents!A36</f>
        <v>INC-2026-000164</v>
      </c>
      <c r="B36" s="6">
        <f>Raw_Incidents!B36</f>
        <v>46144.488888888889</v>
      </c>
      <c r="C36" s="5" t="str">
        <f>Raw_Incidents!C36</f>
        <v>Capsizing</v>
      </c>
      <c r="D36" s="5" t="str">
        <f>Raw_Incidents!E36</f>
        <v>Very Serious</v>
      </c>
      <c r="E36" s="5" t="str">
        <f>Raw_Incidents!H36</f>
        <v>Fishing Vessel</v>
      </c>
      <c r="F36" s="5" t="str">
        <f>Raw_Incidents!AK36</f>
        <v>PCG</v>
      </c>
      <c r="G36" s="5" t="str">
        <f>Raw_Incidents!AM36</f>
        <v>Published</v>
      </c>
      <c r="H36" s="5" t="str">
        <f>Raw_Incidents!V36</f>
        <v>Davao del Sur</v>
      </c>
      <c r="I36" s="5" t="str">
        <f>IF(Raw_Incidents!W36&lt;&gt;"",Raw_Incidents!W36,Raw_Incidents!U36)</f>
        <v>Davao Gulf</v>
      </c>
      <c r="J36" s="5" t="str">
        <f>IF(Raw_Incidents!X36&lt;&gt;"",Raw_Incidents!X36,IF(Raw_Incidents!AH36&lt;&gt;"",Raw_Incidents!AH36,IF(AND(Raw_Incidents!AF36&lt;&gt;"",Raw_Incidents!AG36&lt;&gt;""),Raw_Incidents!AF36&amp;" to "&amp;Raw_Incidents!AG36,"Corridor pending")))</f>
        <v>Samal-Davao Pilotage Route</v>
      </c>
      <c r="K36" s="5" t="str">
        <f>IFERROR(INDEX(Lookups!$B$6:$B$19,MATCH(Raw_Incidents!V36,Lookups!$A$6:$A$19,0)),"National")</f>
        <v>Mindanao</v>
      </c>
      <c r="L36" s="5" t="str">
        <f>Raw_Incidents!AA36</f>
        <v>Poor</v>
      </c>
      <c r="M36" s="5" t="str">
        <f t="shared" si="0"/>
        <v>May 26</v>
      </c>
      <c r="N36" s="5" t="str">
        <f t="shared" si="1"/>
        <v>2026-05</v>
      </c>
      <c r="O36" s="5">
        <f t="shared" si="2"/>
        <v>2026</v>
      </c>
      <c r="P36" s="5" t="str">
        <f t="shared" si="3"/>
        <v>Transition Season</v>
      </c>
      <c r="Q36" s="5" t="str">
        <f>IF(Raw_Incidents!AR36&lt;&gt;"",Raw_Incidents!AR36,IFERROR(INDEX(Lookups!$E$6:$E$15,MATCH(C36,Lookups!$D$6:$D$15,0)),"Under Investigation"))</f>
        <v>Weather Conditions</v>
      </c>
      <c r="R36" s="5" t="str">
        <f>IF(Raw_Incidents!AQ36&lt;&gt;"",Raw_Incidents!AQ36,IFERROR(INDEX(Lookups!$H$6:$H$10,MATCH(Q36,Lookups!$G$6:$G$10,0)),""))</f>
        <v>Violation of Procedures</v>
      </c>
      <c r="S36" s="5" t="str">
        <f>IF(Raw_Incidents!AI36&lt;&gt;"",Raw_Incidents!AI36,IFERROR(INDEX(Lookups!$K$6:$K$12,MATCH(E36,Lookups!$J$6:$J$12,0)),"General Cargo"))</f>
        <v>Fish Catch</v>
      </c>
      <c r="T36" s="9">
        <f ca="1">MAX(YEAR(TODAY())-IF(Raw_Incidents!R36&lt;&gt;"",Raw_Incidents!R36,IFERROR(INDEX(Lookups!$N$6:$N$12,MATCH(E36,Lookups!$M$6:$M$12,0)),2010)),0)</f>
        <v>22</v>
      </c>
      <c r="U36" s="9">
        <f>Raw_Incidents!AW36</f>
        <v>3</v>
      </c>
      <c r="V36" s="9">
        <f>Raw_Incidents!AX36</f>
        <v>0</v>
      </c>
      <c r="W36" s="9">
        <f t="shared" si="4"/>
        <v>3</v>
      </c>
      <c r="X36" s="9">
        <f>IFERROR(INDEX(Lookups!$Q$6:$Q$9,MATCH(D36,Lookups!$P$6:$P$9,0)),1)</f>
        <v>4</v>
      </c>
      <c r="Y36" s="9">
        <f t="shared" si="5"/>
        <v>12</v>
      </c>
      <c r="Z36" s="5">
        <f>--OR(Raw_Incidents!J36&lt;&gt;"",Raw_Incidents!K36&lt;&gt;"")</f>
        <v>1</v>
      </c>
      <c r="AA36" s="5">
        <f>--AND(Raw_Incidents!AF36&lt;&gt;"",Raw_Incidents!AG36&lt;&gt;"")</f>
        <v>1</v>
      </c>
      <c r="AB36" s="5">
        <f>--AND(ISNUMBER(Raw_Incidents!Y36),ISNUMBER(Raw_Incidents!Z36),Raw_Incidents!AA36&lt;&gt;"")</f>
        <v>1</v>
      </c>
      <c r="AC36" s="5" t="str">
        <f>IF(Raw_Incidents!AH36&lt;&gt;"",Raw_Incidents!AH36,IF(AND(Raw_Incidents!AF36&lt;&gt;"",Raw_Incidents!AG36&lt;&gt;""),Raw_Incidents!AF36&amp;" to "&amp;Raw_Incidents!AG36,"Route pending"))</f>
        <v>Davao Gulf northbound merchant lane</v>
      </c>
      <c r="AD36" s="10">
        <f>ROUND((--(B36&lt;&gt;"")+--(C36&lt;&gt;"")+--(D36&lt;&gt;"")+--(Raw_Incidents!S36&lt;&gt;"")+--(Raw_Incidents!T36&lt;&gt;"")+--(Raw_Incidents!U36&lt;&gt;"")+--(H36&lt;&gt;"")+AB36+--(Raw_Incidents!F36&lt;&gt;"")+--(Raw_Incidents!I36&lt;&gt;"")+Z36+AA36+--(Raw_Incidents!AI36&lt;&gt;"")+--(Raw_Incidents!AN36&lt;&gt;"")+--(F36&lt;&gt;""))/15*100,0)</f>
        <v>100</v>
      </c>
      <c r="AE36" s="5">
        <f>--(Raw_Incidents!AZ36&lt;&gt;"")</f>
        <v>1</v>
      </c>
      <c r="AF36" s="5">
        <f t="shared" si="6"/>
        <v>1</v>
      </c>
      <c r="AG36" s="5" t="str">
        <f>Raw_Incidents!AN36</f>
        <v>Fishing vessel capsized during squall conditions near the eastern edge of the Davao Gulf pilotage route.</v>
      </c>
      <c r="AH36" s="5" t="str">
        <f>Raw_Incidents!F36</f>
        <v>FB San Miguel</v>
      </c>
      <c r="AI36" s="5">
        <f>Raw_Incidents!S36</f>
        <v>6.85</v>
      </c>
      <c r="AJ36" s="5">
        <f>Raw_Incidents!T36</f>
        <v>125.76</v>
      </c>
      <c r="AK36" s="5" t="str">
        <f>Raw_Incidents!AL36</f>
        <v>Manual Encoding</v>
      </c>
    </row>
    <row r="37" spans="1:37" x14ac:dyDescent="0.25">
      <c r="A37" s="5" t="str">
        <f>Raw_Incidents!A37</f>
        <v>INC-2026-000183</v>
      </c>
      <c r="B37" s="6">
        <f>Raw_Incidents!B37</f>
        <v>46160.15</v>
      </c>
      <c r="C37" s="5" t="str">
        <f>Raw_Incidents!C37</f>
        <v>Collision</v>
      </c>
      <c r="D37" s="5" t="str">
        <f>Raw_Incidents!E37</f>
        <v>Serious</v>
      </c>
      <c r="E37" s="5" t="str">
        <f>Raw_Incidents!H37</f>
        <v>Passenger Vessel</v>
      </c>
      <c r="F37" s="5" t="str">
        <f>Raw_Incidents!AK37</f>
        <v>PCG</v>
      </c>
      <c r="G37" s="5" t="str">
        <f>Raw_Incidents!AM37</f>
        <v>Published</v>
      </c>
      <c r="H37" s="5" t="str">
        <f>Raw_Incidents!V37</f>
        <v>Cebu</v>
      </c>
      <c r="I37" s="5" t="str">
        <f>IF(Raw_Incidents!W37&lt;&gt;"",Raw_Incidents!W37,Raw_Incidents!U37)</f>
        <v>Cebu Strait</v>
      </c>
      <c r="J37" s="5" t="str">
        <f>IF(Raw_Incidents!X37&lt;&gt;"",Raw_Incidents!X37,IF(Raw_Incidents!AH37&lt;&gt;"",Raw_Incidents!AH37,IF(AND(Raw_Incidents!AF37&lt;&gt;"",Raw_Incidents!AG37&lt;&gt;""),Raw_Incidents!AF37&amp;" to "&amp;Raw_Incidents!AG37,"Corridor pending")))</f>
        <v>Cebu-Mactan Southern Approach</v>
      </c>
      <c r="K37" s="5" t="str">
        <f>IFERROR(INDEX(Lookups!$B$6:$B$19,MATCH(Raw_Incidents!V37,Lookups!$A$6:$A$19,0)),"National")</f>
        <v>Visayas</v>
      </c>
      <c r="L37" s="5" t="str">
        <f>Raw_Incidents!AA37</f>
        <v>Moderate</v>
      </c>
      <c r="M37" s="5" t="str">
        <f t="shared" si="0"/>
        <v>May 26</v>
      </c>
      <c r="N37" s="5" t="str">
        <f t="shared" si="1"/>
        <v>2026-05</v>
      </c>
      <c r="O37" s="5">
        <f t="shared" si="2"/>
        <v>2026</v>
      </c>
      <c r="P37" s="5" t="str">
        <f t="shared" si="3"/>
        <v>Transition Season</v>
      </c>
      <c r="Q37" s="5" t="str">
        <f>IF(Raw_Incidents!AR37&lt;&gt;"",Raw_Incidents!AR37,IFERROR(INDEX(Lookups!$E$6:$E$15,MATCH(C37,Lookups!$D$6:$D$15,0)),"Under Investigation"))</f>
        <v>Navigation Error</v>
      </c>
      <c r="R37" s="5" t="str">
        <f>IF(Raw_Incidents!AQ37&lt;&gt;"",Raw_Incidents!AQ37,IFERROR(INDEX(Lookups!$H$6:$H$10,MATCH(Q37,Lookups!$G$6:$G$10,0)),""))</f>
        <v>Communication Failure</v>
      </c>
      <c r="S37" s="5" t="str">
        <f>IF(Raw_Incidents!AI37&lt;&gt;"",Raw_Incidents!AI37,IFERROR(INDEX(Lookups!$K$6:$K$12,MATCH(E37,Lookups!$J$6:$J$12,0)),"General Cargo"))</f>
        <v>Passengers</v>
      </c>
      <c r="T37" s="9">
        <f ca="1">MAX(YEAR(TODAY())-IF(Raw_Incidents!R37&lt;&gt;"",Raw_Incidents!R37,IFERROR(INDEX(Lookups!$N$6:$N$12,MATCH(E37,Lookups!$M$6:$M$12,0)),2010)),0)</f>
        <v>17</v>
      </c>
      <c r="U37" s="9">
        <f>Raw_Incidents!AW37</f>
        <v>0</v>
      </c>
      <c r="V37" s="9">
        <f>Raw_Incidents!AX37</f>
        <v>4</v>
      </c>
      <c r="W37" s="9">
        <f t="shared" si="4"/>
        <v>4</v>
      </c>
      <c r="X37" s="9">
        <f>IFERROR(INDEX(Lookups!$Q$6:$Q$9,MATCH(D37,Lookups!$P$6:$P$9,0)),1)</f>
        <v>3</v>
      </c>
      <c r="Y37" s="9">
        <f t="shared" si="5"/>
        <v>12</v>
      </c>
      <c r="Z37" s="5">
        <f>--OR(Raw_Incidents!J37&lt;&gt;"",Raw_Incidents!K37&lt;&gt;"")</f>
        <v>1</v>
      </c>
      <c r="AA37" s="5">
        <f>--AND(Raw_Incidents!AF37&lt;&gt;"",Raw_Incidents!AG37&lt;&gt;"")</f>
        <v>1</v>
      </c>
      <c r="AB37" s="5">
        <f>--AND(ISNUMBER(Raw_Incidents!Y37),ISNUMBER(Raw_Incidents!Z37),Raw_Incidents!AA37&lt;&gt;"")</f>
        <v>1</v>
      </c>
      <c r="AC37" s="5" t="str">
        <f>IF(Raw_Incidents!AH37&lt;&gt;"",Raw_Incidents!AH37,IF(AND(Raw_Incidents!AF37&lt;&gt;"",Raw_Incidents!AG37&lt;&gt;""),Raw_Incidents!AF37&amp;" to "&amp;Raw_Incidents!AG37,"Route pending"))</f>
        <v>Cebu Strait domestic passenger corridor</v>
      </c>
      <c r="AD37" s="10">
        <f>ROUND((--(B37&lt;&gt;"")+--(C37&lt;&gt;"")+--(D37&lt;&gt;"")+--(Raw_Incidents!S37&lt;&gt;"")+--(Raw_Incidents!T37&lt;&gt;"")+--(Raw_Incidents!U37&lt;&gt;"")+--(H37&lt;&gt;"")+AB37+--(Raw_Incidents!F37&lt;&gt;"")+--(Raw_Incidents!I37&lt;&gt;"")+Z37+AA37+--(Raw_Incidents!AI37&lt;&gt;"")+--(Raw_Incidents!AN37&lt;&gt;"")+--(F37&lt;&gt;""))/15*100,0)</f>
        <v>100</v>
      </c>
      <c r="AE37" s="5">
        <f>--(Raw_Incidents!AZ37&lt;&gt;"")</f>
        <v>1</v>
      </c>
      <c r="AF37" s="5">
        <f t="shared" si="6"/>
        <v>1</v>
      </c>
      <c r="AG37" s="5" t="str">
        <f>Raw_Incidents!AN37</f>
        <v>Passenger vessel struck a small inter-island cargo craft while overtaking south of Mactan.</v>
      </c>
      <c r="AH37" s="5" t="str">
        <f>Raw_Incidents!F37</f>
        <v>MV Visayan Princess</v>
      </c>
      <c r="AI37" s="5">
        <f>Raw_Incidents!S37</f>
        <v>10.199</v>
      </c>
      <c r="AJ37" s="5">
        <f>Raw_Incidents!T37</f>
        <v>123.929</v>
      </c>
      <c r="AK37" s="5" t="str">
        <f>Raw_Incidents!AL37</f>
        <v>Inter-agency Intake</v>
      </c>
    </row>
    <row r="38" spans="1:37" x14ac:dyDescent="0.25">
      <c r="A38" s="5" t="str">
        <f>Raw_Incidents!A38</f>
        <v>INC-2026-000207</v>
      </c>
      <c r="B38" s="6">
        <f>Raw_Incidents!B38</f>
        <v>46174.839583333327</v>
      </c>
      <c r="C38" s="5" t="str">
        <f>Raw_Incidents!C38</f>
        <v>Machinery Failure</v>
      </c>
      <c r="D38" s="5" t="str">
        <f>Raw_Incidents!E38</f>
        <v>Less Serious</v>
      </c>
      <c r="E38" s="5" t="str">
        <f>Raw_Incidents!H38</f>
        <v>Container Ship</v>
      </c>
      <c r="F38" s="5" t="str">
        <f>Raw_Incidents!AK38</f>
        <v>MARINA</v>
      </c>
      <c r="G38" s="5" t="str">
        <f>Raw_Incidents!AM38</f>
        <v>Verified</v>
      </c>
      <c r="H38" s="5" t="str">
        <f>Raw_Incidents!V38</f>
        <v>Metro Manila</v>
      </c>
      <c r="I38" s="5" t="str">
        <f>IF(Raw_Incidents!W38&lt;&gt;"",Raw_Incidents!W38,Raw_Incidents!U38)</f>
        <v>Manila Bay</v>
      </c>
      <c r="J38" s="5" t="str">
        <f>IF(Raw_Incidents!X38&lt;&gt;"",Raw_Incidents!X38,IF(Raw_Incidents!AH38&lt;&gt;"",Raw_Incidents!AH38,IF(AND(Raw_Incidents!AF38&lt;&gt;"",Raw_Incidents!AG38&lt;&gt;""),Raw_Incidents!AF38&amp;" to "&amp;Raw_Incidents!AG38,"Corridor pending")))</f>
        <v>Manila Bay North Approach</v>
      </c>
      <c r="K38" s="5" t="str">
        <f>IFERROR(INDEX(Lookups!$B$6:$B$19,MATCH(Raw_Incidents!V38,Lookups!$A$6:$A$19,0)),"National")</f>
        <v>Luzon</v>
      </c>
      <c r="L38" s="5" t="str">
        <f>Raw_Incidents!AA38</f>
        <v>Good</v>
      </c>
      <c r="M38" s="5" t="str">
        <f t="shared" si="0"/>
        <v>Jun 26</v>
      </c>
      <c r="N38" s="5" t="str">
        <f t="shared" si="1"/>
        <v>2026-06</v>
      </c>
      <c r="O38" s="5">
        <f t="shared" si="2"/>
        <v>2026</v>
      </c>
      <c r="P38" s="5" t="str">
        <f t="shared" si="3"/>
        <v>Southwest Monsoon</v>
      </c>
      <c r="Q38" s="5" t="str">
        <f>IF(Raw_Incidents!AR38&lt;&gt;"",Raw_Incidents!AR38,IFERROR(INDEX(Lookups!$E$6:$E$15,MATCH(C38,Lookups!$D$6:$D$15,0)),"Under Investigation"))</f>
        <v>Mechanical Failure</v>
      </c>
      <c r="R38" s="5" t="str">
        <f>IF(Raw_Incidents!AQ38&lt;&gt;"",Raw_Incidents!AQ38,IFERROR(INDEX(Lookups!$H$6:$H$10,MATCH(Q38,Lookups!$G$6:$G$10,0)),""))</f>
        <v>Inadequate Training</v>
      </c>
      <c r="S38" s="5" t="str">
        <f>IF(Raw_Incidents!AI38&lt;&gt;"",Raw_Incidents!AI38,IFERROR(INDEX(Lookups!$K$6:$K$12,MATCH(E38,Lookups!$J$6:$J$12,0)),"General Cargo"))</f>
        <v>Containers</v>
      </c>
      <c r="T38" s="9">
        <f ca="1">MAX(YEAR(TODAY())-IF(Raw_Incidents!R38&lt;&gt;"",Raw_Incidents!R38,IFERROR(INDEX(Lookups!$N$6:$N$12,MATCH(E38,Lookups!$M$6:$M$12,0)),2010)),0)</f>
        <v>16</v>
      </c>
      <c r="U38" s="9">
        <f>Raw_Incidents!AW38</f>
        <v>0</v>
      </c>
      <c r="V38" s="9">
        <f>Raw_Incidents!AX38</f>
        <v>0</v>
      </c>
      <c r="W38" s="9">
        <f t="shared" si="4"/>
        <v>0</v>
      </c>
      <c r="X38" s="9">
        <f>IFERROR(INDEX(Lookups!$Q$6:$Q$9,MATCH(D38,Lookups!$P$6:$P$9,0)),1)</f>
        <v>2</v>
      </c>
      <c r="Y38" s="9">
        <f t="shared" si="5"/>
        <v>2</v>
      </c>
      <c r="Z38" s="5">
        <f>--OR(Raw_Incidents!J38&lt;&gt;"",Raw_Incidents!K38&lt;&gt;"")</f>
        <v>1</v>
      </c>
      <c r="AA38" s="5">
        <f>--AND(Raw_Incidents!AF38&lt;&gt;"",Raw_Incidents!AG38&lt;&gt;"")</f>
        <v>1</v>
      </c>
      <c r="AB38" s="5">
        <f>--AND(ISNUMBER(Raw_Incidents!Y38),ISNUMBER(Raw_Incidents!Z38),Raw_Incidents!AA38&lt;&gt;"")</f>
        <v>1</v>
      </c>
      <c r="AC38" s="5" t="str">
        <f>IF(Raw_Incidents!AH38&lt;&gt;"",Raw_Incidents!AH38,IF(AND(Raw_Incidents!AF38&lt;&gt;"",Raw_Incidents!AG38&lt;&gt;""),Raw_Incidents!AF38&amp;" to "&amp;Raw_Incidents!AG38,"Route pending"))</f>
        <v>Subic-Manila inbound traffic lane</v>
      </c>
      <c r="AD38" s="10">
        <f>ROUND((--(B38&lt;&gt;"")+--(C38&lt;&gt;"")+--(D38&lt;&gt;"")+--(Raw_Incidents!S38&lt;&gt;"")+--(Raw_Incidents!T38&lt;&gt;"")+--(Raw_Incidents!U38&lt;&gt;"")+--(H38&lt;&gt;"")+AB38+--(Raw_Incidents!F38&lt;&gt;"")+--(Raw_Incidents!I38&lt;&gt;"")+Z38+AA38+--(Raw_Incidents!AI38&lt;&gt;"")+--(Raw_Incidents!AN38&lt;&gt;"")+--(F38&lt;&gt;""))/15*100,0)</f>
        <v>100</v>
      </c>
      <c r="AE38" s="5">
        <f>--(Raw_Incidents!AZ38&lt;&gt;"")</f>
        <v>1</v>
      </c>
      <c r="AF38" s="5">
        <f t="shared" si="6"/>
        <v>1</v>
      </c>
      <c r="AG38" s="5" t="str">
        <f>Raw_Incidents!AN38</f>
        <v>Container ship lost one generator set while queueing in the Manila Bay north approach anchorage lane.</v>
      </c>
      <c r="AH38" s="5" t="str">
        <f>Raw_Incidents!F38</f>
        <v>MV Cargo Link</v>
      </c>
      <c r="AI38" s="5">
        <f>Raw_Incidents!S38</f>
        <v>14.666</v>
      </c>
      <c r="AJ38" s="5">
        <f>Raw_Incidents!T38</f>
        <v>120.80200000000001</v>
      </c>
      <c r="AK38" s="5" t="str">
        <f>Raw_Incidents!AL38</f>
        <v>Web Portal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showGridLines="0" workbookViewId="0"/>
  </sheetViews>
  <sheetFormatPr defaultRowHeight="15" x14ac:dyDescent="0.25"/>
  <cols>
    <col min="1" max="1" width="22" customWidth="1"/>
    <col min="2" max="7" width="12" customWidth="1"/>
    <col min="8" max="8" width="4" customWidth="1"/>
    <col min="9" max="17" width="14" customWidth="1"/>
  </cols>
  <sheetData>
    <row r="1" spans="1:16" ht="26.1" customHeight="1" x14ac:dyDescent="0.25">
      <c r="A1" s="12" t="s">
        <v>623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100000000000001" customHeight="1" x14ac:dyDescent="0.25">
      <c r="A2" s="14" t="s">
        <v>624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8" customHeight="1" x14ac:dyDescent="0.25">
      <c r="A4" s="16" t="s">
        <v>625</v>
      </c>
      <c r="B4" s="17"/>
      <c r="C4" s="20" t="s">
        <v>626</v>
      </c>
      <c r="D4" s="17"/>
      <c r="E4" s="22" t="s">
        <v>627</v>
      </c>
      <c r="F4" s="17"/>
      <c r="G4" s="24" t="s">
        <v>628</v>
      </c>
      <c r="H4" s="17"/>
    </row>
    <row r="5" spans="1:16" ht="21.95" customHeight="1" x14ac:dyDescent="0.25">
      <c r="A5" s="18">
        <f>COUNTA(Enriched!$A$5:$A$999)</f>
        <v>34</v>
      </c>
      <c r="B5" s="17"/>
      <c r="C5" s="21">
        <f>SUMPRODUCT(--(((Enriched!$D$5:$D$999="Very Serious")+(Enriched!$W$5:$W$999&gt;=3))&gt;0))</f>
        <v>14</v>
      </c>
      <c r="D5" s="17"/>
      <c r="E5" s="23">
        <f>SUMPRODUCT((Enriched!$J$5:$J$999&lt;&gt;"")/COUNTIF(Enriched!$J$5:$J$999,Enriched!$J$5:$J$999&amp;""))</f>
        <v>11</v>
      </c>
      <c r="F5" s="17"/>
      <c r="G5" s="25" t="str">
        <f>ROUND(COUNTIF(Enriched!$AE$5:$AE$999,1)/COUNTA(Enriched!$A$5:$A$999)*100,0)&amp;"%"</f>
        <v>100%</v>
      </c>
      <c r="H5" s="17"/>
    </row>
    <row r="6" spans="1:16" ht="21.95" customHeight="1" x14ac:dyDescent="0.25">
      <c r="A6" s="17"/>
      <c r="B6" s="17"/>
      <c r="C6" s="17"/>
      <c r="D6" s="17"/>
      <c r="E6" s="17"/>
      <c r="F6" s="17"/>
      <c r="G6" s="17"/>
      <c r="H6" s="17"/>
    </row>
    <row r="7" spans="1:16" ht="18" customHeight="1" x14ac:dyDescent="0.25">
      <c r="A7" s="19" t="s">
        <v>629</v>
      </c>
      <c r="B7" s="17"/>
      <c r="C7" s="19" t="s">
        <v>630</v>
      </c>
      <c r="D7" s="17"/>
      <c r="E7" s="19" t="s">
        <v>631</v>
      </c>
      <c r="F7" s="17"/>
      <c r="G7" s="19" t="s">
        <v>632</v>
      </c>
      <c r="H7" s="17"/>
    </row>
    <row r="8" spans="1:16" ht="18" customHeight="1" x14ac:dyDescent="0.25">
      <c r="A8" s="17"/>
      <c r="B8" s="17"/>
      <c r="C8" s="17"/>
      <c r="D8" s="17"/>
      <c r="E8" s="17"/>
      <c r="F8" s="17"/>
      <c r="G8" s="17"/>
      <c r="H8" s="17"/>
    </row>
    <row r="11" spans="1:16" ht="20.100000000000001" customHeight="1" x14ac:dyDescent="0.25">
      <c r="A11" s="26" t="s">
        <v>633</v>
      </c>
      <c r="B11" s="13"/>
      <c r="C11" s="13"/>
      <c r="D11" s="13"/>
      <c r="E11" s="13"/>
      <c r="F11" s="13"/>
      <c r="G11" s="13"/>
    </row>
    <row r="12" spans="1:16" ht="30" x14ac:dyDescent="0.25">
      <c r="A12" s="4" t="s">
        <v>634</v>
      </c>
      <c r="B12" s="4" t="s">
        <v>635</v>
      </c>
      <c r="C12" s="4" t="s">
        <v>64</v>
      </c>
      <c r="D12" s="4" t="s">
        <v>65</v>
      </c>
      <c r="E12" s="4" t="s">
        <v>636</v>
      </c>
      <c r="F12" s="4" t="s">
        <v>615</v>
      </c>
      <c r="G12" s="4" t="s">
        <v>199</v>
      </c>
    </row>
    <row r="13" spans="1:16" x14ac:dyDescent="0.25">
      <c r="A13" s="5" t="s">
        <v>637</v>
      </c>
      <c r="B13" s="5">
        <f>COUNTIF(Enriched!$M$5:$M$38,"Jan 25")</f>
        <v>2</v>
      </c>
      <c r="C13" s="5">
        <f>SUMIF(Enriched!$M$5:$M$38,"Jan 25",Enriched!$U$5:$U$38)</f>
        <v>0</v>
      </c>
      <c r="D13" s="5">
        <f>SUMIF(Enriched!$M$5:$M$38,"Jan 25",Enriched!$V$5:$V$38)</f>
        <v>6</v>
      </c>
      <c r="E13" s="5">
        <f t="shared" ref="E13:E27" si="0">C13+D13</f>
        <v>6</v>
      </c>
      <c r="F13" s="5">
        <f>SUMIF(Enriched!$M$5:$M$38,"Jan 25",Enriched!$Y$5:$Y$38)</f>
        <v>18</v>
      </c>
      <c r="G13" s="5">
        <f>COUNTIFS(Enriched!$M$5:$M$38,"Jan 25",Enriched!$D$5:$D$38,"Very Serious")</f>
        <v>0</v>
      </c>
    </row>
    <row r="14" spans="1:16" x14ac:dyDescent="0.25">
      <c r="A14" s="5" t="s">
        <v>638</v>
      </c>
      <c r="B14" s="5">
        <f>COUNTIF(Enriched!$M$5:$M$38,"Feb 25")</f>
        <v>2</v>
      </c>
      <c r="C14" s="5">
        <f>SUMIF(Enriched!$M$5:$M$38,"Feb 25",Enriched!$U$5:$U$38)</f>
        <v>1</v>
      </c>
      <c r="D14" s="5">
        <f>SUMIF(Enriched!$M$5:$M$38,"Feb 25",Enriched!$V$5:$V$38)</f>
        <v>3</v>
      </c>
      <c r="E14" s="5">
        <f t="shared" si="0"/>
        <v>4</v>
      </c>
      <c r="F14" s="5">
        <f>SUMIF(Enriched!$M$5:$M$38,"Feb 25",Enriched!$Y$5:$Y$38)</f>
        <v>12</v>
      </c>
      <c r="G14" s="5">
        <f>COUNTIFS(Enriched!$M$5:$M$38,"Feb 25",Enriched!$D$5:$D$38,"Very Serious")</f>
        <v>0</v>
      </c>
    </row>
    <row r="15" spans="1:16" x14ac:dyDescent="0.25">
      <c r="A15" s="5" t="s">
        <v>639</v>
      </c>
      <c r="B15" s="5">
        <f>COUNTIF(Enriched!$M$5:$M$38,"Mar 25")</f>
        <v>3</v>
      </c>
      <c r="C15" s="5">
        <f>SUMIF(Enriched!$M$5:$M$38,"Mar 25",Enriched!$U$5:$U$38)</f>
        <v>5</v>
      </c>
      <c r="D15" s="5">
        <f>SUMIF(Enriched!$M$5:$M$38,"Mar 25",Enriched!$V$5:$V$38)</f>
        <v>4</v>
      </c>
      <c r="E15" s="5">
        <f t="shared" si="0"/>
        <v>9</v>
      </c>
      <c r="F15" s="5">
        <f>SUMIF(Enriched!$M$5:$M$38,"Mar 25",Enriched!$Y$5:$Y$38)</f>
        <v>34</v>
      </c>
      <c r="G15" s="5">
        <f>COUNTIFS(Enriched!$M$5:$M$38,"Mar 25",Enriched!$D$5:$D$38,"Very Serious")</f>
        <v>2</v>
      </c>
    </row>
    <row r="16" spans="1:16" x14ac:dyDescent="0.25">
      <c r="A16" s="5" t="s">
        <v>640</v>
      </c>
      <c r="B16" s="5">
        <f>COUNTIF(Enriched!$M$5:$M$38,"Apr 25")</f>
        <v>2</v>
      </c>
      <c r="C16" s="5">
        <f>SUMIF(Enriched!$M$5:$M$38,"Apr 25",Enriched!$U$5:$U$38)</f>
        <v>0</v>
      </c>
      <c r="D16" s="5">
        <f>SUMIF(Enriched!$M$5:$M$38,"Apr 25",Enriched!$V$5:$V$38)</f>
        <v>0</v>
      </c>
      <c r="E16" s="5">
        <f t="shared" si="0"/>
        <v>0</v>
      </c>
      <c r="F16" s="5">
        <f>SUMIF(Enriched!$M$5:$M$38,"Apr 25",Enriched!$Y$5:$Y$38)</f>
        <v>4</v>
      </c>
      <c r="G16" s="5">
        <f>COUNTIFS(Enriched!$M$5:$M$38,"Apr 25",Enriched!$D$5:$D$38,"Very Serious")</f>
        <v>0</v>
      </c>
    </row>
    <row r="17" spans="1:7" x14ac:dyDescent="0.25">
      <c r="A17" s="5" t="s">
        <v>641</v>
      </c>
      <c r="B17" s="5">
        <f>COUNTIF(Enriched!$M$5:$M$38,"May 25")</f>
        <v>2</v>
      </c>
      <c r="C17" s="5">
        <f>SUMIF(Enriched!$M$5:$M$38,"May 25",Enriched!$U$5:$U$38)</f>
        <v>0</v>
      </c>
      <c r="D17" s="5">
        <f>SUMIF(Enriched!$M$5:$M$38,"May 25",Enriched!$V$5:$V$38)</f>
        <v>1</v>
      </c>
      <c r="E17" s="5">
        <f t="shared" si="0"/>
        <v>1</v>
      </c>
      <c r="F17" s="5">
        <f>SUMIF(Enriched!$M$5:$M$38,"May 25",Enriched!$Y$5:$Y$38)</f>
        <v>3</v>
      </c>
      <c r="G17" s="5">
        <f>COUNTIFS(Enriched!$M$5:$M$38,"May 25",Enriched!$D$5:$D$38,"Very Serious")</f>
        <v>0</v>
      </c>
    </row>
    <row r="18" spans="1:7" x14ac:dyDescent="0.25">
      <c r="A18" s="5" t="s">
        <v>642</v>
      </c>
      <c r="B18" s="5">
        <f>COUNTIF(Enriched!$M$5:$M$38,"Jun 25")</f>
        <v>2</v>
      </c>
      <c r="C18" s="5">
        <f>SUMIF(Enriched!$M$5:$M$38,"Jun 25",Enriched!$U$5:$U$38)</f>
        <v>0</v>
      </c>
      <c r="D18" s="5">
        <f>SUMIF(Enriched!$M$5:$M$38,"Jun 25",Enriched!$V$5:$V$38)</f>
        <v>6</v>
      </c>
      <c r="E18" s="5">
        <f t="shared" si="0"/>
        <v>6</v>
      </c>
      <c r="F18" s="5">
        <f>SUMIF(Enriched!$M$5:$M$38,"Jun 25",Enriched!$Y$5:$Y$38)</f>
        <v>18</v>
      </c>
      <c r="G18" s="5">
        <f>COUNTIFS(Enriched!$M$5:$M$38,"Jun 25",Enriched!$D$5:$D$38,"Very Serious")</f>
        <v>0</v>
      </c>
    </row>
    <row r="19" spans="1:7" x14ac:dyDescent="0.25">
      <c r="A19" s="5" t="s">
        <v>643</v>
      </c>
      <c r="B19" s="5">
        <f>COUNTIF(Enriched!$M$5:$M$38,"Jul 25")</f>
        <v>2</v>
      </c>
      <c r="C19" s="5">
        <f>SUMIF(Enriched!$M$5:$M$38,"Jul 25",Enriched!$U$5:$U$38)</f>
        <v>0</v>
      </c>
      <c r="D19" s="5">
        <f>SUMIF(Enriched!$M$5:$M$38,"Jul 25",Enriched!$V$5:$V$38)</f>
        <v>2</v>
      </c>
      <c r="E19" s="5">
        <f t="shared" si="0"/>
        <v>2</v>
      </c>
      <c r="F19" s="5">
        <f>SUMIF(Enriched!$M$5:$M$38,"Jul 25",Enriched!$Y$5:$Y$38)</f>
        <v>9</v>
      </c>
      <c r="G19" s="5">
        <f>COUNTIFS(Enriched!$M$5:$M$38,"Jul 25",Enriched!$D$5:$D$38,"Very Serious")</f>
        <v>0</v>
      </c>
    </row>
    <row r="20" spans="1:7" x14ac:dyDescent="0.25">
      <c r="A20" s="5" t="s">
        <v>644</v>
      </c>
      <c r="B20" s="5">
        <f>COUNTIF(Enriched!$M$5:$M$38,"Aug 25")</f>
        <v>1</v>
      </c>
      <c r="C20" s="5">
        <f>SUMIF(Enriched!$M$5:$M$38,"Aug 25",Enriched!$U$5:$U$38)</f>
        <v>0</v>
      </c>
      <c r="D20" s="5">
        <f>SUMIF(Enriched!$M$5:$M$38,"Aug 25",Enriched!$V$5:$V$38)</f>
        <v>0</v>
      </c>
      <c r="E20" s="5">
        <f t="shared" si="0"/>
        <v>0</v>
      </c>
      <c r="F20" s="5">
        <f>SUMIF(Enriched!$M$5:$M$38,"Aug 25",Enriched!$Y$5:$Y$38)</f>
        <v>2</v>
      </c>
      <c r="G20" s="5">
        <f>COUNTIFS(Enriched!$M$5:$M$38,"Aug 25",Enriched!$D$5:$D$38,"Very Serious")</f>
        <v>0</v>
      </c>
    </row>
    <row r="21" spans="1:7" x14ac:dyDescent="0.25">
      <c r="A21" s="5" t="s">
        <v>645</v>
      </c>
      <c r="B21" s="5">
        <f>COUNTIF(Enriched!$M$5:$M$38,"Sep 25")</f>
        <v>2</v>
      </c>
      <c r="C21" s="5">
        <f>SUMIF(Enriched!$M$5:$M$38,"Sep 25",Enriched!$U$5:$U$38)</f>
        <v>1</v>
      </c>
      <c r="D21" s="5">
        <f>SUMIF(Enriched!$M$5:$M$38,"Sep 25",Enriched!$V$5:$V$38)</f>
        <v>5</v>
      </c>
      <c r="E21" s="5">
        <f t="shared" si="0"/>
        <v>6</v>
      </c>
      <c r="F21" s="5">
        <f>SUMIF(Enriched!$M$5:$M$38,"Sep 25",Enriched!$Y$5:$Y$38)</f>
        <v>23</v>
      </c>
      <c r="G21" s="5">
        <f>COUNTIFS(Enriched!$M$5:$M$38,"Sep 25",Enriched!$D$5:$D$38,"Very Serious")</f>
        <v>1</v>
      </c>
    </row>
    <row r="22" spans="1:7" x14ac:dyDescent="0.25">
      <c r="A22" s="5" t="s">
        <v>646</v>
      </c>
      <c r="B22" s="5">
        <f>COUNTIF(Enriched!$M$5:$M$38,"Oct 25")</f>
        <v>2</v>
      </c>
      <c r="C22" s="5">
        <f>SUMIF(Enriched!$M$5:$M$38,"Oct 25",Enriched!$U$5:$U$38)</f>
        <v>2</v>
      </c>
      <c r="D22" s="5">
        <f>SUMIF(Enriched!$M$5:$M$38,"Oct 25",Enriched!$V$5:$V$38)</f>
        <v>7</v>
      </c>
      <c r="E22" s="5">
        <f t="shared" si="0"/>
        <v>9</v>
      </c>
      <c r="F22" s="5">
        <f>SUMIF(Enriched!$M$5:$M$38,"Oct 25",Enriched!$Y$5:$Y$38)</f>
        <v>34</v>
      </c>
      <c r="G22" s="5">
        <f>COUNTIFS(Enriched!$M$5:$M$38,"Oct 25",Enriched!$D$5:$D$38,"Very Serious")</f>
        <v>1</v>
      </c>
    </row>
    <row r="23" spans="1:7" x14ac:dyDescent="0.25">
      <c r="A23" s="5" t="s">
        <v>647</v>
      </c>
      <c r="B23" s="5">
        <f>COUNTIF(Enriched!$M$5:$M$38,"Nov 25")</f>
        <v>2</v>
      </c>
      <c r="C23" s="5">
        <f>SUMIF(Enriched!$M$5:$M$38,"Nov 25",Enriched!$U$5:$U$38)</f>
        <v>1</v>
      </c>
      <c r="D23" s="5">
        <f>SUMIF(Enriched!$M$5:$M$38,"Nov 25",Enriched!$V$5:$V$38)</f>
        <v>8</v>
      </c>
      <c r="E23" s="5">
        <f t="shared" si="0"/>
        <v>9</v>
      </c>
      <c r="F23" s="5">
        <f>SUMIF(Enriched!$M$5:$M$38,"Nov 25",Enriched!$Y$5:$Y$38)</f>
        <v>37</v>
      </c>
      <c r="G23" s="5">
        <f>COUNTIFS(Enriched!$M$5:$M$38,"Nov 25",Enriched!$D$5:$D$38,"Very Serious")</f>
        <v>1</v>
      </c>
    </row>
    <row r="24" spans="1:7" x14ac:dyDescent="0.25">
      <c r="A24" s="5" t="s">
        <v>648</v>
      </c>
      <c r="B24" s="5">
        <f>COUNTIF(Enriched!$M$5:$M$38,"Dec 25")</f>
        <v>1</v>
      </c>
      <c r="C24" s="5">
        <f>SUMIF(Enriched!$M$5:$M$38,"Dec 25",Enriched!$U$5:$U$38)</f>
        <v>1</v>
      </c>
      <c r="D24" s="5">
        <f>SUMIF(Enriched!$M$5:$M$38,"Dec 25",Enriched!$V$5:$V$38)</f>
        <v>2</v>
      </c>
      <c r="E24" s="5">
        <f t="shared" si="0"/>
        <v>3</v>
      </c>
      <c r="F24" s="5">
        <f>SUMIF(Enriched!$M$5:$M$38,"Dec 25",Enriched!$Y$5:$Y$38)</f>
        <v>9</v>
      </c>
      <c r="G24" s="5">
        <f>COUNTIFS(Enriched!$M$5:$M$38,"Dec 25",Enriched!$D$5:$D$38,"Very Serious")</f>
        <v>0</v>
      </c>
    </row>
    <row r="25" spans="1:7" x14ac:dyDescent="0.25">
      <c r="A25" s="5" t="s">
        <v>649</v>
      </c>
      <c r="B25" s="5">
        <f>COUNTIF(Enriched!$M$5:$M$38,"Jan 26")</f>
        <v>2</v>
      </c>
      <c r="C25" s="5">
        <f>SUMIF(Enriched!$M$5:$M$38,"Jan 26",Enriched!$U$5:$U$38)</f>
        <v>0</v>
      </c>
      <c r="D25" s="5">
        <f>SUMIF(Enriched!$M$5:$M$38,"Jan 26",Enriched!$V$5:$V$38)</f>
        <v>2</v>
      </c>
      <c r="E25" s="5">
        <f t="shared" si="0"/>
        <v>2</v>
      </c>
      <c r="F25" s="5">
        <f>SUMIF(Enriched!$M$5:$M$38,"Jan 26",Enriched!$Y$5:$Y$38)</f>
        <v>8</v>
      </c>
      <c r="G25" s="5">
        <f>COUNTIFS(Enriched!$M$5:$M$38,"Jan 26",Enriched!$D$5:$D$38,"Very Serious")</f>
        <v>0</v>
      </c>
    </row>
    <row r="26" spans="1:7" x14ac:dyDescent="0.25">
      <c r="A26" s="5" t="s">
        <v>650</v>
      </c>
      <c r="B26" s="5">
        <f>COUNTIF(Enriched!$M$5:$M$38,"Feb 26")</f>
        <v>2</v>
      </c>
      <c r="C26" s="5">
        <f>SUMIF(Enriched!$M$5:$M$38,"Feb 26",Enriched!$U$5:$U$38)</f>
        <v>1</v>
      </c>
      <c r="D26" s="5">
        <f>SUMIF(Enriched!$M$5:$M$38,"Feb 26",Enriched!$V$5:$V$38)</f>
        <v>8</v>
      </c>
      <c r="E26" s="5">
        <f t="shared" si="0"/>
        <v>9</v>
      </c>
      <c r="F26" s="5">
        <f>SUMIF(Enriched!$M$5:$M$38,"Feb 26",Enriched!$Y$5:$Y$38)</f>
        <v>33</v>
      </c>
      <c r="G26" s="5">
        <f>COUNTIFS(Enriched!$M$5:$M$38,"Feb 26",Enriched!$D$5:$D$38,"Very Serious")</f>
        <v>1</v>
      </c>
    </row>
    <row r="27" spans="1:7" x14ac:dyDescent="0.25">
      <c r="A27" s="5" t="s">
        <v>651</v>
      </c>
      <c r="B27" s="5">
        <f>COUNTIF(Enriched!$M$5:$M$38,"Mar 26")</f>
        <v>2</v>
      </c>
      <c r="C27" s="5">
        <f>SUMIF(Enriched!$M$5:$M$38,"Mar 26",Enriched!$U$5:$U$38)</f>
        <v>4</v>
      </c>
      <c r="D27" s="5">
        <f>SUMIF(Enriched!$M$5:$M$38,"Mar 26",Enriched!$V$5:$V$38)</f>
        <v>7</v>
      </c>
      <c r="E27" s="5">
        <f t="shared" si="0"/>
        <v>11</v>
      </c>
      <c r="F27" s="5">
        <f>SUMIF(Enriched!$M$5:$M$38,"Mar 26",Enriched!$Y$5:$Y$38)</f>
        <v>43</v>
      </c>
      <c r="G27" s="5">
        <f>COUNTIFS(Enriched!$M$5:$M$38,"Mar 26",Enriched!$D$5:$D$38,"Very Serious")</f>
        <v>1</v>
      </c>
    </row>
    <row r="28" spans="1:7" ht="20.100000000000001" customHeight="1" x14ac:dyDescent="0.25">
      <c r="A28" s="27" t="s">
        <v>652</v>
      </c>
      <c r="B28" s="28"/>
      <c r="C28" s="28"/>
      <c r="D28" s="28"/>
      <c r="E28" s="28"/>
      <c r="F28" s="29"/>
      <c r="G28" s="5">
        <f>COUNTIFS(Enriched!$M$5:$M$38,"Apr 26",Enriched!$D$5:$D$38,"Very Serious")</f>
        <v>0</v>
      </c>
    </row>
    <row r="29" spans="1:7" x14ac:dyDescent="0.25">
      <c r="A29" s="4" t="s">
        <v>20</v>
      </c>
      <c r="B29" s="4" t="s">
        <v>653</v>
      </c>
      <c r="C29" s="4" t="s">
        <v>654</v>
      </c>
      <c r="D29" s="4" t="s">
        <v>636</v>
      </c>
      <c r="E29" s="5" t="e">
        <f>C29+D29</f>
        <v>#VALUE!</v>
      </c>
      <c r="F29" s="5">
        <f>SUMIF(Enriched!$M$5:$M$38,"May 26",Enriched!$Y$5:$Y$38)</f>
        <v>24</v>
      </c>
      <c r="G29" s="5">
        <f>COUNTIFS(Enriched!$M$5:$M$38,"May 26",Enriched!$D$5:$D$38,"Very Serious")</f>
        <v>1</v>
      </c>
    </row>
    <row r="30" spans="1:7" x14ac:dyDescent="0.25">
      <c r="A30" s="5" t="s">
        <v>71</v>
      </c>
      <c r="B30" s="5">
        <f>COUNTIF(Enriched!$D$5:$D$38,"Serious")</f>
        <v>15</v>
      </c>
      <c r="C30" s="5">
        <f>ROUND(B30/COUNTA(Enriched!$A$5:$A$38)*100,0)</f>
        <v>44</v>
      </c>
      <c r="D30" s="5">
        <f>SUMIF(Enriched!$D$5:$D$38,"Serious",Enriched!$W$5:$W$38)</f>
        <v>34</v>
      </c>
      <c r="E30" s="5">
        <f>C30+D30</f>
        <v>78</v>
      </c>
      <c r="F30" s="5">
        <f>SUMIF(Enriched!$M$5:$M$38,"Jun 26",Enriched!$Y$5:$Y$38)</f>
        <v>2</v>
      </c>
      <c r="G30" s="5">
        <f>COUNTIFS(Enriched!$M$5:$M$38,"Jun 26",Enriched!$D$5:$D$38,"Very Serious")</f>
        <v>0</v>
      </c>
    </row>
    <row r="31" spans="1:7" x14ac:dyDescent="0.25">
      <c r="A31" s="5" t="s">
        <v>248</v>
      </c>
      <c r="B31" s="5">
        <f>COUNTIF(Enriched!$D$5:$D$38,"Less Serious")</f>
        <v>9</v>
      </c>
      <c r="C31" s="5">
        <f>ROUND(B31/COUNTA(Enriched!$A$5:$A$38)*100,0)</f>
        <v>26</v>
      </c>
      <c r="D31" s="5">
        <f>SUMIF(Enriched!$D$5:$D$38,"Less Serious",Enriched!$W$5:$W$38)</f>
        <v>3</v>
      </c>
    </row>
    <row r="32" spans="1:7" x14ac:dyDescent="0.25">
      <c r="A32" s="5" t="s">
        <v>199</v>
      </c>
      <c r="B32" s="5">
        <f>COUNTIF(Enriched!$D$5:$D$38,"Very Serious")</f>
        <v>8</v>
      </c>
      <c r="C32" s="5">
        <f>ROUND(B32/COUNTA(Enriched!$A$5:$A$38)*100,0)</f>
        <v>24</v>
      </c>
      <c r="D32" s="5">
        <f>SUMIF(Enriched!$D$5:$D$38,"Very Serious",Enriched!$W$5:$W$38)</f>
        <v>49</v>
      </c>
    </row>
    <row r="33" spans="1:4" x14ac:dyDescent="0.25">
      <c r="A33" s="5" t="s">
        <v>316</v>
      </c>
      <c r="B33" s="5">
        <f>COUNTIF(Enriched!$D$5:$D$38,"Near Miss")</f>
        <v>2</v>
      </c>
      <c r="C33" s="5">
        <f>ROUND(B33/COUNTA(Enriched!$A$5:$A$38)*100,0)</f>
        <v>6</v>
      </c>
      <c r="D33" s="5">
        <f>SUMIF(Enriched!$D$5:$D$38,"Near Miss",Enriched!$W$5:$W$38)</f>
        <v>0</v>
      </c>
    </row>
  </sheetData>
  <mergeCells count="16">
    <mergeCell ref="A11:G11"/>
    <mergeCell ref="A28:F28"/>
    <mergeCell ref="A1:P1"/>
    <mergeCell ref="A2:P2"/>
    <mergeCell ref="A4:B4"/>
    <mergeCell ref="A5:B6"/>
    <mergeCell ref="A7:B8"/>
    <mergeCell ref="C4:D4"/>
    <mergeCell ref="C5:D6"/>
    <mergeCell ref="C7:D8"/>
    <mergeCell ref="E4:F4"/>
    <mergeCell ref="E5:F6"/>
    <mergeCell ref="E7:F8"/>
    <mergeCell ref="G4:H4"/>
    <mergeCell ref="G5:H6"/>
    <mergeCell ref="G7:H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showGridLines="0" workbookViewId="0"/>
  </sheetViews>
  <sheetFormatPr defaultRowHeight="15" x14ac:dyDescent="0.25"/>
  <cols>
    <col min="1" max="1" width="22" customWidth="1"/>
    <col min="2" max="6" width="14" customWidth="1"/>
    <col min="7" max="7" width="4" customWidth="1"/>
    <col min="8" max="17" width="14" customWidth="1"/>
  </cols>
  <sheetData>
    <row r="1" spans="1:16" ht="26.1" customHeight="1" x14ac:dyDescent="0.25">
      <c r="A1" s="12" t="s">
        <v>655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100000000000001" customHeight="1" x14ac:dyDescent="0.25">
      <c r="A2" s="14" t="s">
        <v>656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20.100000000000001" customHeight="1" x14ac:dyDescent="0.25">
      <c r="A4" s="26" t="s">
        <v>657</v>
      </c>
      <c r="B4" s="13"/>
      <c r="C4" s="13"/>
      <c r="D4" s="13"/>
      <c r="E4" s="13"/>
      <c r="F4" s="13"/>
    </row>
    <row r="5" spans="1:16" ht="30" x14ac:dyDescent="0.25">
      <c r="A5" s="4" t="s">
        <v>576</v>
      </c>
      <c r="B5" s="4" t="s">
        <v>635</v>
      </c>
      <c r="C5" s="4" t="s">
        <v>636</v>
      </c>
      <c r="D5" s="4" t="s">
        <v>64</v>
      </c>
      <c r="E5" s="4" t="s">
        <v>658</v>
      </c>
      <c r="F5" s="4" t="s">
        <v>659</v>
      </c>
    </row>
    <row r="6" spans="1:16" x14ac:dyDescent="0.25">
      <c r="A6" s="5" t="s">
        <v>100</v>
      </c>
      <c r="B6" s="5">
        <f>COUNTIF(Enriched!$Q$5:$Q$38,"Navigation Error")</f>
        <v>15</v>
      </c>
      <c r="C6" s="5">
        <f>SUMIF(Enriched!$Q$5:$Q$38,"Navigation Error",Enriched!$W$5:$W$38)</f>
        <v>40</v>
      </c>
      <c r="D6" s="5">
        <f>SUMIF(Enriched!$Q$5:$Q$38,"Navigation Error",Enriched!$U$5:$U$38)</f>
        <v>5</v>
      </c>
      <c r="E6" s="5">
        <v>9</v>
      </c>
      <c r="F6" s="5">
        <f>ROUND(SUM($B$6:B6)/SUM($B$6:$B$9)*100,0)</f>
        <v>44</v>
      </c>
    </row>
    <row r="7" spans="1:16" x14ac:dyDescent="0.25">
      <c r="A7" s="5" t="s">
        <v>132</v>
      </c>
      <c r="B7" s="5">
        <f>COUNTIF(Enriched!$Q$5:$Q$38,"Mechanical Failure")</f>
        <v>11</v>
      </c>
      <c r="C7" s="5">
        <f>SUMIF(Enriched!$Q$5:$Q$38,"Mechanical Failure",Enriched!$W$5:$W$38)</f>
        <v>23</v>
      </c>
      <c r="D7" s="5">
        <f>SUMIF(Enriched!$Q$5:$Q$38,"Mechanical Failure",Enriched!$U$5:$U$38)</f>
        <v>2</v>
      </c>
      <c r="E7" s="5">
        <v>8</v>
      </c>
      <c r="F7" s="5">
        <f>ROUND(SUM($B$6:B7)/SUM($B$6:$B$9)*100,0)</f>
        <v>76</v>
      </c>
    </row>
    <row r="8" spans="1:16" x14ac:dyDescent="0.25">
      <c r="A8" s="5" t="s">
        <v>221</v>
      </c>
      <c r="B8" s="5">
        <f>COUNTIF(Enriched!$Q$5:$Q$38,"Weather Conditions")</f>
        <v>5</v>
      </c>
      <c r="C8" s="5">
        <f>SUMIF(Enriched!$Q$5:$Q$38,"Weather Conditions",Enriched!$W$5:$W$38)</f>
        <v>19</v>
      </c>
      <c r="D8" s="5">
        <f>SUMIF(Enriched!$Q$5:$Q$38,"Weather Conditions",Enriched!$U$5:$U$38)</f>
        <v>10</v>
      </c>
      <c r="E8" s="5">
        <v>3</v>
      </c>
      <c r="F8" s="5">
        <f>ROUND(SUM($B$6:B8)/SUM($B$6:$B$9)*100,0)</f>
        <v>91</v>
      </c>
    </row>
    <row r="9" spans="1:16" x14ac:dyDescent="0.25">
      <c r="A9" s="5" t="s">
        <v>192</v>
      </c>
      <c r="B9" s="5">
        <f>COUNTIF(Enriched!$Q$5:$Q$38,"Human Error")</f>
        <v>3</v>
      </c>
      <c r="C9" s="5">
        <f>SUMIF(Enriched!$Q$5:$Q$38,"Human Error",Enriched!$W$5:$W$38)</f>
        <v>4</v>
      </c>
      <c r="D9" s="5">
        <f>SUMIF(Enriched!$Q$5:$Q$38,"Human Error",Enriched!$U$5:$U$38)</f>
        <v>2</v>
      </c>
      <c r="E9" s="5">
        <v>2</v>
      </c>
      <c r="F9" s="5">
        <f>ROUND(SUM($B$6:B9)/SUM($B$6:$B$9)*100,0)</f>
        <v>100</v>
      </c>
    </row>
    <row r="22" spans="1:6" ht="20.100000000000001" customHeight="1" x14ac:dyDescent="0.25">
      <c r="A22" s="26" t="s">
        <v>660</v>
      </c>
      <c r="B22" s="13"/>
      <c r="C22" s="13"/>
      <c r="D22" s="13"/>
      <c r="E22" s="13"/>
      <c r="F22" s="13"/>
    </row>
    <row r="23" spans="1:6" x14ac:dyDescent="0.25">
      <c r="A23" s="4" t="s">
        <v>18</v>
      </c>
      <c r="B23" s="4" t="s">
        <v>635</v>
      </c>
      <c r="C23" s="4" t="s">
        <v>64</v>
      </c>
      <c r="D23" s="4" t="s">
        <v>65</v>
      </c>
      <c r="E23" s="4" t="s">
        <v>636</v>
      </c>
    </row>
    <row r="24" spans="1:6" x14ac:dyDescent="0.25">
      <c r="A24" s="5" t="s">
        <v>69</v>
      </c>
      <c r="B24" s="5">
        <f>COUNTIF(Enriched!$C$5:$C$38,"Collision")</f>
        <v>12</v>
      </c>
      <c r="C24" s="5">
        <f>SUMIF(Enriched!$C$5:$C$38,"Collision",Enriched!$U$5:$U$38)</f>
        <v>5</v>
      </c>
      <c r="D24" s="5">
        <f>SUMIF(Enriched!$C$5:$C$38,"Collision",Enriched!$V$5:$V$38)</f>
        <v>31</v>
      </c>
      <c r="E24" s="5">
        <f t="shared" ref="E24:E33" si="0">C24+D24</f>
        <v>36</v>
      </c>
    </row>
    <row r="25" spans="1:6" x14ac:dyDescent="0.25">
      <c r="A25" s="5" t="s">
        <v>106</v>
      </c>
      <c r="B25" s="5">
        <f>COUNTIF(Enriched!$C$5:$C$38,"Fire/Explosion")</f>
        <v>3</v>
      </c>
      <c r="C25" s="5">
        <f>SUMIF(Enriched!$C$5:$C$38,"Fire/Explosion",Enriched!$U$5:$U$38)</f>
        <v>2</v>
      </c>
      <c r="D25" s="5">
        <f>SUMIF(Enriched!$C$5:$C$38,"Fire/Explosion",Enriched!$V$5:$V$38)</f>
        <v>17</v>
      </c>
      <c r="E25" s="5">
        <f t="shared" si="0"/>
        <v>19</v>
      </c>
    </row>
    <row r="26" spans="1:6" x14ac:dyDescent="0.25">
      <c r="A26" s="5" t="s">
        <v>227</v>
      </c>
      <c r="B26" s="5">
        <f>COUNTIF(Enriched!$C$5:$C$38,"Capsizing")</f>
        <v>3</v>
      </c>
      <c r="C26" s="5">
        <f>SUMIF(Enriched!$C$5:$C$38,"Capsizing",Enriched!$U$5:$U$38)</f>
        <v>6</v>
      </c>
      <c r="D26" s="5">
        <f>SUMIF(Enriched!$C$5:$C$38,"Capsizing",Enriched!$V$5:$V$38)</f>
        <v>3</v>
      </c>
      <c r="E26" s="5">
        <f t="shared" si="0"/>
        <v>9</v>
      </c>
    </row>
    <row r="27" spans="1:6" x14ac:dyDescent="0.25">
      <c r="A27" s="5" t="s">
        <v>138</v>
      </c>
      <c r="B27" s="5">
        <f>COUNTIF(Enriched!$C$5:$C$38,"Grounding")</f>
        <v>4</v>
      </c>
      <c r="C27" s="5">
        <f>SUMIF(Enriched!$C$5:$C$38,"Grounding",Enriched!$U$5:$U$38)</f>
        <v>0</v>
      </c>
      <c r="D27" s="5">
        <f>SUMIF(Enriched!$C$5:$C$38,"Grounding",Enriched!$V$5:$V$38)</f>
        <v>6</v>
      </c>
      <c r="E27" s="5">
        <f t="shared" si="0"/>
        <v>6</v>
      </c>
    </row>
    <row r="28" spans="1:6" x14ac:dyDescent="0.25">
      <c r="A28" s="5" t="s">
        <v>420</v>
      </c>
      <c r="B28" s="5">
        <f>COUNTIF(Enriched!$C$5:$C$38,"Swamping")</f>
        <v>1</v>
      </c>
      <c r="C28" s="5">
        <f>SUMIF(Enriched!$C$5:$C$38,"Swamping",Enriched!$U$5:$U$38)</f>
        <v>1</v>
      </c>
      <c r="D28" s="5">
        <f>SUMIF(Enriched!$C$5:$C$38,"Swamping",Enriched!$V$5:$V$38)</f>
        <v>4</v>
      </c>
      <c r="E28" s="5">
        <f t="shared" si="0"/>
        <v>5</v>
      </c>
    </row>
    <row r="29" spans="1:6" x14ac:dyDescent="0.25">
      <c r="A29" s="5" t="s">
        <v>198</v>
      </c>
      <c r="B29" s="5">
        <f>COUNTIF(Enriched!$C$5:$C$38,"Sinking")</f>
        <v>1</v>
      </c>
      <c r="C29" s="5">
        <f>SUMIF(Enriched!$C$5:$C$38,"Sinking",Enriched!$U$5:$U$38)</f>
        <v>3</v>
      </c>
      <c r="D29" s="5">
        <f>SUMIF(Enriched!$C$5:$C$38,"Sinking",Enriched!$V$5:$V$38)</f>
        <v>2</v>
      </c>
      <c r="E29" s="5">
        <f t="shared" si="0"/>
        <v>5</v>
      </c>
    </row>
    <row r="30" spans="1:6" x14ac:dyDescent="0.25">
      <c r="A30" s="5" t="s">
        <v>271</v>
      </c>
      <c r="B30" s="5">
        <f>COUNTIF(Enriched!$C$5:$C$38,"Machinery Failure")</f>
        <v>4</v>
      </c>
      <c r="C30" s="5">
        <f>SUMIF(Enriched!$C$5:$C$38,"Machinery Failure",Enriched!$U$5:$U$38)</f>
        <v>0</v>
      </c>
      <c r="D30" s="5">
        <f>SUMIF(Enriched!$C$5:$C$38,"Machinery Failure",Enriched!$V$5:$V$38)</f>
        <v>3</v>
      </c>
      <c r="E30" s="5">
        <f t="shared" si="0"/>
        <v>3</v>
      </c>
    </row>
    <row r="31" spans="1:6" x14ac:dyDescent="0.25">
      <c r="A31" s="5" t="s">
        <v>168</v>
      </c>
      <c r="B31" s="5">
        <f>COUNTIF(Enriched!$C$5:$C$38,"Person Overboard")</f>
        <v>2</v>
      </c>
      <c r="C31" s="5">
        <f>SUMIF(Enriched!$C$5:$C$38,"Person Overboard",Enriched!$U$5:$U$38)</f>
        <v>2</v>
      </c>
      <c r="D31" s="5">
        <f>SUMIF(Enriched!$C$5:$C$38,"Person Overboard",Enriched!$V$5:$V$38)</f>
        <v>0</v>
      </c>
      <c r="E31" s="5">
        <f t="shared" si="0"/>
        <v>2</v>
      </c>
    </row>
    <row r="32" spans="1:6" x14ac:dyDescent="0.25">
      <c r="A32" s="5" t="s">
        <v>297</v>
      </c>
      <c r="B32" s="5">
        <f>COUNTIF(Enriched!$C$5:$C$38,"Flooding")</f>
        <v>3</v>
      </c>
      <c r="C32" s="5">
        <f>SUMIF(Enriched!$C$5:$C$38,"Flooding",Enriched!$U$5:$U$38)</f>
        <v>0</v>
      </c>
      <c r="D32" s="5">
        <f>SUMIF(Enriched!$C$5:$C$38,"Flooding",Enriched!$V$5:$V$38)</f>
        <v>1</v>
      </c>
      <c r="E32" s="5">
        <f t="shared" si="0"/>
        <v>1</v>
      </c>
    </row>
    <row r="33" spans="1:5" x14ac:dyDescent="0.25">
      <c r="A33" s="5" t="s">
        <v>394</v>
      </c>
      <c r="B33" s="5">
        <f>COUNTIF(Enriched!$C$5:$C$38,"Pollution Incident")</f>
        <v>1</v>
      </c>
      <c r="C33" s="5">
        <f>SUMIF(Enriched!$C$5:$C$38,"Pollution Incident",Enriched!$U$5:$U$38)</f>
        <v>0</v>
      </c>
      <c r="D33" s="5">
        <f>SUMIF(Enriched!$C$5:$C$38,"Pollution Incident",Enriched!$V$5:$V$38)</f>
        <v>0</v>
      </c>
      <c r="E33" s="5">
        <f t="shared" si="0"/>
        <v>0</v>
      </c>
    </row>
    <row r="41" spans="1:5" ht="20.100000000000001" customHeight="1" x14ac:dyDescent="0.25">
      <c r="A41" s="26" t="s">
        <v>661</v>
      </c>
      <c r="B41" s="13"/>
      <c r="C41" s="13"/>
      <c r="D41" s="13"/>
    </row>
    <row r="42" spans="1:5" x14ac:dyDescent="0.25">
      <c r="A42" s="4" t="s">
        <v>662</v>
      </c>
      <c r="B42" s="4" t="s">
        <v>663</v>
      </c>
      <c r="C42" s="4" t="s">
        <v>664</v>
      </c>
    </row>
    <row r="43" spans="1:5" ht="30" x14ac:dyDescent="0.25">
      <c r="A43" s="5" t="s">
        <v>162</v>
      </c>
      <c r="B43" s="5">
        <f>COUNTIF(Enriched!$R$5:$R$38,"*Violation of Procedures*")</f>
        <v>15</v>
      </c>
      <c r="C43" s="5">
        <f>ROUND(B43/COUNTA(Enriched!$A$5:$A$38)*100,0)</f>
        <v>44</v>
      </c>
    </row>
    <row r="44" spans="1:5" x14ac:dyDescent="0.25">
      <c r="A44" s="5" t="s">
        <v>266</v>
      </c>
      <c r="B44" s="5">
        <f>COUNTIF(Enriched!$R$5:$R$38,"*Communication Failure*")</f>
        <v>14</v>
      </c>
      <c r="C44" s="5">
        <f>ROUND(B44/COUNTA(Enriched!$A$5:$A$38)*100,0)</f>
        <v>41</v>
      </c>
    </row>
    <row r="45" spans="1:5" x14ac:dyDescent="0.25">
      <c r="A45" s="5" t="s">
        <v>131</v>
      </c>
      <c r="B45" s="5">
        <f>COUNTIF(Enriched!$R$5:$R$38,"*Inadequate Training*")</f>
        <v>9</v>
      </c>
      <c r="C45" s="5">
        <f>ROUND(B45/COUNTA(Enriched!$A$5:$A$38)*100,0)</f>
        <v>26</v>
      </c>
    </row>
    <row r="46" spans="1:5" x14ac:dyDescent="0.25">
      <c r="A46" s="5" t="s">
        <v>191</v>
      </c>
      <c r="B46" s="5">
        <f>COUNTIF(Enriched!$R$5:$R$38,"*Fatigue*")</f>
        <v>6</v>
      </c>
      <c r="C46" s="5">
        <f>ROUND(B46/COUNTA(Enriched!$A$5:$A$38)*100,0)</f>
        <v>18</v>
      </c>
    </row>
    <row r="60" spans="1:6" ht="20.100000000000001" customHeight="1" x14ac:dyDescent="0.25">
      <c r="A60" s="26" t="s">
        <v>665</v>
      </c>
      <c r="B60" s="13"/>
      <c r="C60" s="13"/>
      <c r="D60" s="13"/>
      <c r="E60" s="13"/>
      <c r="F60" s="13"/>
    </row>
    <row r="61" spans="1:6" x14ac:dyDescent="0.25">
      <c r="A61" s="4" t="s">
        <v>608</v>
      </c>
      <c r="B61" s="4" t="s">
        <v>117</v>
      </c>
      <c r="C61" s="4" t="s">
        <v>84</v>
      </c>
      <c r="D61" s="4" t="s">
        <v>208</v>
      </c>
      <c r="E61" s="4" t="s">
        <v>591</v>
      </c>
    </row>
    <row r="62" spans="1:6" x14ac:dyDescent="0.25">
      <c r="A62" s="5" t="s">
        <v>582</v>
      </c>
      <c r="B62" s="5">
        <f>SUMIFS(Enriched!$Y$5:$Y$38,Enriched!$P$5:$P$38,"Northeast Monsoon",Enriched!$L$5:$L$38,"Good")</f>
        <v>50</v>
      </c>
      <c r="C62" s="5">
        <f>SUMIFS(Enriched!$Y$5:$Y$38,Enriched!$P$5:$P$38,"Northeast Monsoon",Enriched!$L$5:$L$38,"Moderate")</f>
        <v>30</v>
      </c>
      <c r="D62" s="5">
        <f>SUMIFS(Enriched!$Y$5:$Y$38,Enriched!$P$5:$P$38,"Northeast Monsoon",Enriched!$L$5:$L$38,"Poor")</f>
        <v>0</v>
      </c>
      <c r="E62" s="5">
        <f>SUMIFS(Enriched!$Y$5:$Y$38,Enriched!$P$5:$P$38,"Northeast Monsoon",Enriched!$L$5:$L$38,"Very Poor")</f>
        <v>0</v>
      </c>
    </row>
    <row r="63" spans="1:6" x14ac:dyDescent="0.25">
      <c r="A63" s="5" t="s">
        <v>585</v>
      </c>
      <c r="B63" s="5">
        <f>SUMIFS(Enriched!$Y$5:$Y$38,Enriched!$P$5:$P$38,"Transition Season",Enriched!$L$5:$L$38,"Good")</f>
        <v>8</v>
      </c>
      <c r="C63" s="5">
        <f>SUMIFS(Enriched!$Y$5:$Y$38,Enriched!$P$5:$P$38,"Transition Season",Enriched!$L$5:$L$38,"Moderate")</f>
        <v>36</v>
      </c>
      <c r="D63" s="5">
        <f>SUMIFS(Enriched!$Y$5:$Y$38,Enriched!$P$5:$P$38,"Transition Season",Enriched!$L$5:$L$38,"Poor")</f>
        <v>72</v>
      </c>
      <c r="E63" s="5">
        <f>SUMIFS(Enriched!$Y$5:$Y$38,Enriched!$P$5:$P$38,"Transition Season",Enriched!$L$5:$L$38,"Very Poor")</f>
        <v>0</v>
      </c>
    </row>
    <row r="64" spans="1:6" x14ac:dyDescent="0.25">
      <c r="A64" s="5" t="s">
        <v>587</v>
      </c>
      <c r="B64" s="5">
        <f>SUMIFS(Enriched!$Y$5:$Y$38,Enriched!$P$5:$P$38,"Southwest Monsoon",Enriched!$L$5:$L$38,"Good")</f>
        <v>10</v>
      </c>
      <c r="C64" s="5">
        <f>SUMIFS(Enriched!$Y$5:$Y$38,Enriched!$P$5:$P$38,"Southwest Monsoon",Enriched!$L$5:$L$38,"Moderate")</f>
        <v>18</v>
      </c>
      <c r="D64" s="5">
        <f>SUMIFS(Enriched!$Y$5:$Y$38,Enriched!$P$5:$P$38,"Southwest Monsoon",Enriched!$L$5:$L$38,"Poor")</f>
        <v>26</v>
      </c>
      <c r="E64" s="5">
        <f>SUMIFS(Enriched!$Y$5:$Y$38,Enriched!$P$5:$P$38,"Southwest Monsoon",Enriched!$L$5:$L$38,"Very Poor")</f>
        <v>0</v>
      </c>
    </row>
    <row r="65" spans="1:5" x14ac:dyDescent="0.25">
      <c r="A65" s="5" t="s">
        <v>590</v>
      </c>
      <c r="B65" s="5">
        <f>SUMIFS(Enriched!$Y$5:$Y$38,Enriched!$P$5:$P$38,"Typhoon Season",Enriched!$L$5:$L$38,"Good")</f>
        <v>1</v>
      </c>
      <c r="C65" s="5">
        <f>SUMIFS(Enriched!$Y$5:$Y$38,Enriched!$P$5:$P$38,"Typhoon Season",Enriched!$L$5:$L$38,"Moderate")</f>
        <v>38</v>
      </c>
      <c r="D65" s="5">
        <f>SUMIFS(Enriched!$Y$5:$Y$38,Enriched!$P$5:$P$38,"Typhoon Season",Enriched!$L$5:$L$38,"Poor")</f>
        <v>32</v>
      </c>
      <c r="E65" s="5">
        <f>SUMIFS(Enriched!$Y$5:$Y$38,Enriched!$P$5:$P$38,"Typhoon Season",Enriched!$L$5:$L$38,"Very Poor")</f>
        <v>0</v>
      </c>
    </row>
    <row r="68" spans="1:5" ht="150" x14ac:dyDescent="0.25">
      <c r="A68" s="11" t="s">
        <v>666</v>
      </c>
      <c r="B68" s="2" t="s">
        <v>667</v>
      </c>
    </row>
  </sheetData>
  <mergeCells count="6">
    <mergeCell ref="A60:F60"/>
    <mergeCell ref="A1:P1"/>
    <mergeCell ref="A2:P2"/>
    <mergeCell ref="A4:F4"/>
    <mergeCell ref="A22:F22"/>
    <mergeCell ref="A41:D41"/>
  </mergeCells>
  <conditionalFormatting sqref="B62:E65">
    <cfRule type="colorScale" priority="1">
      <colorScale>
        <cfvo type="min"/>
        <cfvo type="percentile" val="50"/>
        <cfvo type="max"/>
        <color rgb="FFFEE2E2"/>
        <color rgb="FFF87171"/>
        <color rgb="FF7F1D1D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8"/>
  <sheetViews>
    <sheetView showGridLines="0" workbookViewId="0"/>
  </sheetViews>
  <sheetFormatPr defaultRowHeight="15" x14ac:dyDescent="0.25"/>
  <cols>
    <col min="1" max="1" width="22" customWidth="1"/>
    <col min="2" max="2" width="28" customWidth="1"/>
    <col min="3" max="5" width="12" customWidth="1"/>
    <col min="6" max="6" width="22" customWidth="1"/>
    <col min="7" max="7" width="18" customWidth="1"/>
    <col min="8" max="8" width="4" customWidth="1"/>
    <col min="9" max="17" width="14" customWidth="1"/>
  </cols>
  <sheetData>
    <row r="1" spans="1:16" ht="26.1" customHeight="1" x14ac:dyDescent="0.25">
      <c r="A1" s="12" t="s">
        <v>668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100000000000001" customHeight="1" x14ac:dyDescent="0.25">
      <c r="A2" s="14" t="s">
        <v>669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20.100000000000001" customHeight="1" x14ac:dyDescent="0.25">
      <c r="A4" s="26" t="s">
        <v>670</v>
      </c>
      <c r="B4" s="13"/>
      <c r="C4" s="13"/>
      <c r="D4" s="13"/>
      <c r="E4" s="13"/>
      <c r="F4" s="13"/>
      <c r="G4" s="13"/>
    </row>
    <row r="5" spans="1:16" ht="30" x14ac:dyDescent="0.25">
      <c r="A5" s="4" t="s">
        <v>39</v>
      </c>
      <c r="B5" s="4" t="s">
        <v>38</v>
      </c>
      <c r="C5" s="4" t="s">
        <v>653</v>
      </c>
      <c r="D5" s="4" t="s">
        <v>64</v>
      </c>
      <c r="E5" s="4" t="s">
        <v>65</v>
      </c>
      <c r="F5" s="4" t="s">
        <v>615</v>
      </c>
      <c r="G5" s="4" t="s">
        <v>671</v>
      </c>
    </row>
    <row r="6" spans="1:16" ht="30" x14ac:dyDescent="0.25">
      <c r="A6" s="5" t="s">
        <v>116</v>
      </c>
      <c r="B6" s="5" t="s">
        <v>115</v>
      </c>
      <c r="C6" s="5">
        <f>COUNTIF(Enriched!$J$5:$J$38,"Batangas-Calapan Transit Lane")</f>
        <v>4</v>
      </c>
      <c r="D6" s="5">
        <f>SUMIF(Enriched!$J$5:$J$38,"Batangas-Calapan Transit Lane",Enriched!$U$5:$U$38)</f>
        <v>1</v>
      </c>
      <c r="E6" s="5">
        <f>SUMIF(Enriched!$J$5:$J$38,"Batangas-Calapan Transit Lane",Enriched!$V$5:$V$38)</f>
        <v>15</v>
      </c>
      <c r="F6" s="5">
        <f>SUMIF(Enriched!$J$5:$J$38,"Batangas-Calapan Transit Lane",Enriched!$Y$5:$Y$38)</f>
        <v>56</v>
      </c>
      <c r="G6" s="5">
        <f>ROUND(AVERAGEIF(Enriched!$J$5:$J$38,"Batangas-Calapan Transit Lane",Enriched!$AD$5:$AD$38),0)</f>
        <v>100</v>
      </c>
    </row>
    <row r="7" spans="1:16" ht="30" x14ac:dyDescent="0.25">
      <c r="A7" s="5" t="s">
        <v>323</v>
      </c>
      <c r="B7" s="5" t="s">
        <v>82</v>
      </c>
      <c r="C7" s="5">
        <f>COUNTIF(Enriched!$J$5:$J$38,"Manila Bay South Approach")</f>
        <v>2</v>
      </c>
      <c r="D7" s="5">
        <f>SUMIF(Enriched!$J$5:$J$38,"Manila Bay South Approach",Enriched!$U$5:$U$38)</f>
        <v>3</v>
      </c>
      <c r="E7" s="5">
        <f>SUMIF(Enriched!$J$5:$J$38,"Manila Bay South Approach",Enriched!$V$5:$V$38)</f>
        <v>7</v>
      </c>
      <c r="F7" s="5">
        <f>SUMIF(Enriched!$J$5:$J$38,"Manila Bay South Approach",Enriched!$Y$5:$Y$38)</f>
        <v>41</v>
      </c>
      <c r="G7" s="5">
        <f>ROUND(AVERAGEIF(Enriched!$J$5:$J$38,"Manila Bay South Approach",Enriched!$AD$5:$AD$38),0)</f>
        <v>100</v>
      </c>
    </row>
    <row r="8" spans="1:16" ht="30" x14ac:dyDescent="0.25">
      <c r="A8" s="5" t="s">
        <v>83</v>
      </c>
      <c r="B8" s="5" t="s">
        <v>82</v>
      </c>
      <c r="C8" s="5">
        <f>COUNTIF(Enriched!$J$5:$J$38,"Manila Bay North Approach")</f>
        <v>3</v>
      </c>
      <c r="D8" s="5">
        <f>SUMIF(Enriched!$J$5:$J$38,"Manila Bay North Approach",Enriched!$U$5:$U$38)</f>
        <v>2</v>
      </c>
      <c r="E8" s="5">
        <f>SUMIF(Enriched!$J$5:$J$38,"Manila Bay North Approach",Enriched!$V$5:$V$38)</f>
        <v>8</v>
      </c>
      <c r="F8" s="5">
        <f>SUMIF(Enriched!$J$5:$J$38,"Manila Bay North Approach",Enriched!$Y$5:$Y$38)</f>
        <v>40</v>
      </c>
      <c r="G8" s="5">
        <f>ROUND(AVERAGEIF(Enriched!$J$5:$J$38,"Manila Bay North Approach",Enriched!$AD$5:$AD$38),0)</f>
        <v>100</v>
      </c>
    </row>
    <row r="9" spans="1:16" ht="30" x14ac:dyDescent="0.25">
      <c r="A9" s="5" t="s">
        <v>147</v>
      </c>
      <c r="B9" s="5" t="s">
        <v>146</v>
      </c>
      <c r="C9" s="5">
        <f>COUNTIF(Enriched!$J$5:$J$38,"Cebu-Mactan Southern Approach")</f>
        <v>4</v>
      </c>
      <c r="D9" s="5">
        <f>SUMIF(Enriched!$J$5:$J$38,"Cebu-Mactan Southern Approach",Enriched!$U$5:$U$38)</f>
        <v>0</v>
      </c>
      <c r="E9" s="5">
        <f>SUMIF(Enriched!$J$5:$J$38,"Cebu-Mactan Southern Approach",Enriched!$V$5:$V$38)</f>
        <v>12</v>
      </c>
      <c r="F9" s="5">
        <f>SUMIF(Enriched!$J$5:$J$38,"Cebu-Mactan Southern Approach",Enriched!$Y$5:$Y$38)</f>
        <v>37</v>
      </c>
      <c r="G9" s="5">
        <f>ROUND(AVERAGEIF(Enriched!$J$5:$J$38,"Cebu-Mactan Southern Approach",Enriched!$AD$5:$AD$38),0)</f>
        <v>100</v>
      </c>
    </row>
    <row r="10" spans="1:16" x14ac:dyDescent="0.25">
      <c r="A10" s="5" t="s">
        <v>207</v>
      </c>
      <c r="B10" s="5" t="s">
        <v>206</v>
      </c>
      <c r="C10" s="5">
        <f>COUNTIF(Enriched!$J$5:$J$38,"Liloan-Surigao Crossing")</f>
        <v>3</v>
      </c>
      <c r="D10" s="5">
        <f>SUMIF(Enriched!$J$5:$J$38,"Liloan-Surigao Crossing",Enriched!$U$5:$U$38)</f>
        <v>4</v>
      </c>
      <c r="E10" s="5">
        <f>SUMIF(Enriched!$J$5:$J$38,"Liloan-Surigao Crossing",Enriched!$V$5:$V$38)</f>
        <v>6</v>
      </c>
      <c r="F10" s="5">
        <f>SUMIF(Enriched!$J$5:$J$38,"Liloan-Surigao Crossing",Enriched!$Y$5:$Y$38)</f>
        <v>35</v>
      </c>
      <c r="G10" s="5">
        <f>ROUND(AVERAGEIF(Enriched!$J$5:$J$38,"Liloan-Surigao Crossing",Enriched!$AD$5:$AD$38),0)</f>
        <v>100</v>
      </c>
    </row>
    <row r="11" spans="1:16" ht="30" x14ac:dyDescent="0.25">
      <c r="A11" s="5" t="s">
        <v>255</v>
      </c>
      <c r="B11" s="5" t="s">
        <v>254</v>
      </c>
      <c r="C11" s="5">
        <f>COUNTIF(Enriched!$J$5:$J$38,"Matnog-Allen Ferry Transit")</f>
        <v>3</v>
      </c>
      <c r="D11" s="5">
        <f>SUMIF(Enriched!$J$5:$J$38,"Matnog-Allen Ferry Transit",Enriched!$U$5:$U$38)</f>
        <v>1</v>
      </c>
      <c r="E11" s="5">
        <f>SUMIF(Enriched!$J$5:$J$38,"Matnog-Allen Ferry Transit",Enriched!$V$5:$V$38)</f>
        <v>8</v>
      </c>
      <c r="F11" s="5">
        <f>SUMIF(Enriched!$J$5:$J$38,"Matnog-Allen Ferry Transit",Enriched!$Y$5:$Y$38)</f>
        <v>31</v>
      </c>
      <c r="G11" s="5">
        <f>ROUND(AVERAGEIF(Enriched!$J$5:$J$38,"Matnog-Allen Ferry Transit",Enriched!$AD$5:$AD$38),0)</f>
        <v>100</v>
      </c>
    </row>
    <row r="12" spans="1:16" ht="30" x14ac:dyDescent="0.25">
      <c r="A12" s="5" t="s">
        <v>282</v>
      </c>
      <c r="B12" s="5" t="s">
        <v>281</v>
      </c>
      <c r="C12" s="5">
        <f>COUNTIF(Enriched!$J$5:$J$38,"Macajalar Bay Bulk Access Lane")</f>
        <v>3</v>
      </c>
      <c r="D12" s="5">
        <f>SUMIF(Enriched!$J$5:$J$38,"Macajalar Bay Bulk Access Lane",Enriched!$U$5:$U$38)</f>
        <v>1</v>
      </c>
      <c r="E12" s="5">
        <f>SUMIF(Enriched!$J$5:$J$38,"Macajalar Bay Bulk Access Lane",Enriched!$V$5:$V$38)</f>
        <v>6</v>
      </c>
      <c r="F12" s="5">
        <f>SUMIF(Enriched!$J$5:$J$38,"Macajalar Bay Bulk Access Lane",Enriched!$Y$5:$Y$38)</f>
        <v>29</v>
      </c>
      <c r="G12" s="5">
        <f>ROUND(AVERAGEIF(Enriched!$J$5:$J$38,"Macajalar Bay Bulk Access Lane",Enriched!$AD$5:$AD$38),0)</f>
        <v>100</v>
      </c>
    </row>
    <row r="13" spans="1:16" ht="30" x14ac:dyDescent="0.25">
      <c r="A13" s="5" t="s">
        <v>233</v>
      </c>
      <c r="B13" s="5" t="s">
        <v>232</v>
      </c>
      <c r="C13" s="5">
        <f>COUNTIF(Enriched!$J$5:$J$38,"Samal-Davao Pilotage Route")</f>
        <v>4</v>
      </c>
      <c r="D13" s="5">
        <f>SUMIF(Enriched!$J$5:$J$38,"Samal-Davao Pilotage Route",Enriched!$U$5:$U$38)</f>
        <v>5</v>
      </c>
      <c r="E13" s="5">
        <f>SUMIF(Enriched!$J$5:$J$38,"Samal-Davao Pilotage Route",Enriched!$V$5:$V$38)</f>
        <v>1</v>
      </c>
      <c r="F13" s="5">
        <f>SUMIF(Enriched!$J$5:$J$38,"Samal-Davao Pilotage Route",Enriched!$Y$5:$Y$38)</f>
        <v>28</v>
      </c>
      <c r="G13" s="5">
        <f>ROUND(AVERAGEIF(Enriched!$J$5:$J$38,"Samal-Davao Pilotage Route",Enriched!$AD$5:$AD$38),0)</f>
        <v>100</v>
      </c>
    </row>
    <row r="14" spans="1:16" ht="30" x14ac:dyDescent="0.25">
      <c r="A14" s="5" t="s">
        <v>179</v>
      </c>
      <c r="B14" s="5" t="s">
        <v>178</v>
      </c>
      <c r="C14" s="5">
        <f>COUNTIF(Enriched!$J$5:$J$38,"Puerto Princesa Western Approach")</f>
        <v>3</v>
      </c>
      <c r="D14" s="5">
        <f>SUMIF(Enriched!$J$5:$J$38,"Puerto Princesa Western Approach",Enriched!$U$5:$U$38)</f>
        <v>1</v>
      </c>
      <c r="E14" s="5">
        <f>SUMIF(Enriched!$J$5:$J$38,"Puerto Princesa Western Approach",Enriched!$V$5:$V$38)</f>
        <v>2</v>
      </c>
      <c r="F14" s="5">
        <f>SUMIF(Enriched!$J$5:$J$38,"Puerto Princesa Western Approach",Enriched!$Y$5:$Y$38)</f>
        <v>12</v>
      </c>
      <c r="G14" s="5">
        <f>ROUND(AVERAGEIF(Enriched!$J$5:$J$38,"Puerto Princesa Western Approach",Enriched!$AD$5:$AD$38),0)</f>
        <v>100</v>
      </c>
    </row>
    <row r="15" spans="1:16" ht="30" x14ac:dyDescent="0.25">
      <c r="A15" s="5" t="s">
        <v>302</v>
      </c>
      <c r="B15" s="5" t="s">
        <v>301</v>
      </c>
      <c r="C15" s="5">
        <f>COUNTIF(Enriched!$J$5:$J$38,"Iloilo-Guimaras Transit Lane")</f>
        <v>3</v>
      </c>
      <c r="D15" s="5">
        <f>SUMIF(Enriched!$J$5:$J$38,"Iloilo-Guimaras Transit Lane",Enriched!$U$5:$U$38)</f>
        <v>0</v>
      </c>
      <c r="E15" s="5">
        <f>SUMIF(Enriched!$J$5:$J$38,"Iloilo-Guimaras Transit Lane",Enriched!$V$5:$V$38)</f>
        <v>1</v>
      </c>
      <c r="F15" s="5">
        <f>SUMIF(Enriched!$J$5:$J$38,"Iloilo-Guimaras Transit Lane",Enriched!$Y$5:$Y$38)</f>
        <v>6</v>
      </c>
      <c r="G15" s="5">
        <f>ROUND(AVERAGEIF(Enriched!$J$5:$J$38,"Iloilo-Guimaras Transit Lane",Enriched!$AD$5:$AD$38),0)</f>
        <v>100</v>
      </c>
    </row>
    <row r="16" spans="1:16" ht="30" x14ac:dyDescent="0.25">
      <c r="A16" s="5" t="s">
        <v>369</v>
      </c>
      <c r="B16" s="5" t="s">
        <v>368</v>
      </c>
      <c r="C16" s="5">
        <f>COUNTIF(Enriched!$J$5:$J$38,"Cebu-Bohol Passenger Corridor")</f>
        <v>2</v>
      </c>
      <c r="D16" s="5">
        <f>SUMIF(Enriched!$J$5:$J$38,"Cebu-Bohol Passenger Corridor",Enriched!$U$5:$U$38)</f>
        <v>1</v>
      </c>
      <c r="E16" s="5">
        <f>SUMIF(Enriched!$J$5:$J$38,"Cebu-Bohol Passenger Corridor",Enriched!$V$5:$V$38)</f>
        <v>1</v>
      </c>
      <c r="F16" s="5">
        <f>SUMIF(Enriched!$J$5:$J$38,"Cebu-Bohol Passenger Corridor",Enriched!$Y$5:$Y$38)</f>
        <v>6</v>
      </c>
      <c r="G16" s="5">
        <f>ROUND(AVERAGEIF(Enriched!$J$5:$J$38,"Cebu-Bohol Passenger Corridor",Enriched!$AD$5:$AD$38),0)</f>
        <v>100</v>
      </c>
    </row>
    <row r="24" spans="1:5" ht="20.100000000000001" customHeight="1" x14ac:dyDescent="0.25">
      <c r="A24" s="26" t="s">
        <v>672</v>
      </c>
      <c r="B24" s="13"/>
      <c r="C24" s="13"/>
      <c r="D24" s="13"/>
      <c r="E24" s="13"/>
    </row>
    <row r="25" spans="1:5" x14ac:dyDescent="0.25">
      <c r="A25" s="4" t="s">
        <v>38</v>
      </c>
      <c r="B25" s="4" t="s">
        <v>653</v>
      </c>
      <c r="C25" s="4" t="s">
        <v>64</v>
      </c>
      <c r="D25" s="4" t="s">
        <v>65</v>
      </c>
      <c r="E25" s="4" t="s">
        <v>615</v>
      </c>
    </row>
    <row r="26" spans="1:5" x14ac:dyDescent="0.25">
      <c r="A26" s="5" t="s">
        <v>82</v>
      </c>
      <c r="B26" s="5">
        <f>COUNTIF(Enriched!$I$5:$I$38,"Manila Bay")</f>
        <v>5</v>
      </c>
      <c r="C26" s="5">
        <f>SUMIF(Enriched!$I$5:$I$38,"Manila Bay",Enriched!$U$5:$U$38)</f>
        <v>5</v>
      </c>
      <c r="D26" s="5">
        <f>SUMIF(Enriched!$I$5:$I$38,"Manila Bay",Enriched!$V$5:$V$38)</f>
        <v>15</v>
      </c>
      <c r="E26" s="5">
        <f>SUMIF(Enriched!$I$5:$I$38,"Manila Bay",Enriched!$Y$5:$Y$38)</f>
        <v>81</v>
      </c>
    </row>
    <row r="27" spans="1:5" x14ac:dyDescent="0.25">
      <c r="A27" s="5" t="s">
        <v>115</v>
      </c>
      <c r="B27" s="5">
        <f>COUNTIF(Enriched!$I$5:$I$38,"Verde Island Passage")</f>
        <v>4</v>
      </c>
      <c r="C27" s="5">
        <f>SUMIF(Enriched!$I$5:$I$38,"Verde Island Passage",Enriched!$U$5:$U$38)</f>
        <v>1</v>
      </c>
      <c r="D27" s="5">
        <f>SUMIF(Enriched!$I$5:$I$38,"Verde Island Passage",Enriched!$V$5:$V$38)</f>
        <v>15</v>
      </c>
      <c r="E27" s="5">
        <f>SUMIF(Enriched!$I$5:$I$38,"Verde Island Passage",Enriched!$Y$5:$Y$38)</f>
        <v>56</v>
      </c>
    </row>
    <row r="28" spans="1:5" x14ac:dyDescent="0.25">
      <c r="A28" s="5" t="s">
        <v>146</v>
      </c>
      <c r="B28" s="5">
        <f>COUNTIF(Enriched!$I$5:$I$38,"Cebu Strait")</f>
        <v>4</v>
      </c>
      <c r="C28" s="5">
        <f>SUMIF(Enriched!$I$5:$I$38,"Cebu Strait",Enriched!$U$5:$U$38)</f>
        <v>0</v>
      </c>
      <c r="D28" s="5">
        <f>SUMIF(Enriched!$I$5:$I$38,"Cebu Strait",Enriched!$V$5:$V$38)</f>
        <v>12</v>
      </c>
      <c r="E28" s="5">
        <f>SUMIF(Enriched!$I$5:$I$38,"Cebu Strait",Enriched!$Y$5:$Y$38)</f>
        <v>37</v>
      </c>
    </row>
    <row r="29" spans="1:5" x14ac:dyDescent="0.25">
      <c r="A29" s="5" t="s">
        <v>206</v>
      </c>
      <c r="B29" s="5">
        <f>COUNTIF(Enriched!$I$5:$I$38,"Surigao Strait")</f>
        <v>3</v>
      </c>
      <c r="C29" s="5">
        <f>SUMIF(Enriched!$I$5:$I$38,"Surigao Strait",Enriched!$U$5:$U$38)</f>
        <v>4</v>
      </c>
      <c r="D29" s="5">
        <f>SUMIF(Enriched!$I$5:$I$38,"Surigao Strait",Enriched!$V$5:$V$38)</f>
        <v>6</v>
      </c>
      <c r="E29" s="5">
        <f>SUMIF(Enriched!$I$5:$I$38,"Surigao Strait",Enriched!$Y$5:$Y$38)</f>
        <v>35</v>
      </c>
    </row>
    <row r="30" spans="1:5" x14ac:dyDescent="0.25">
      <c r="A30" s="5" t="s">
        <v>254</v>
      </c>
      <c r="B30" s="5">
        <f>COUNTIF(Enriched!$I$5:$I$38,"San Bernardino Strait")</f>
        <v>3</v>
      </c>
      <c r="C30" s="5">
        <f>SUMIF(Enriched!$I$5:$I$38,"San Bernardino Strait",Enriched!$U$5:$U$38)</f>
        <v>1</v>
      </c>
      <c r="D30" s="5">
        <f>SUMIF(Enriched!$I$5:$I$38,"San Bernardino Strait",Enriched!$V$5:$V$38)</f>
        <v>8</v>
      </c>
      <c r="E30" s="5">
        <f>SUMIF(Enriched!$I$5:$I$38,"San Bernardino Strait",Enriched!$Y$5:$Y$38)</f>
        <v>31</v>
      </c>
    </row>
    <row r="31" spans="1:5" x14ac:dyDescent="0.25">
      <c r="A31" s="5" t="s">
        <v>281</v>
      </c>
      <c r="B31" s="5">
        <f>COUNTIF(Enriched!$I$5:$I$38,"Macajalar Bay")</f>
        <v>3</v>
      </c>
      <c r="C31" s="5">
        <f>SUMIF(Enriched!$I$5:$I$38,"Macajalar Bay",Enriched!$U$5:$U$38)</f>
        <v>1</v>
      </c>
      <c r="D31" s="5">
        <f>SUMIF(Enriched!$I$5:$I$38,"Macajalar Bay",Enriched!$V$5:$V$38)</f>
        <v>6</v>
      </c>
      <c r="E31" s="5">
        <f>SUMIF(Enriched!$I$5:$I$38,"Macajalar Bay",Enriched!$Y$5:$Y$38)</f>
        <v>29</v>
      </c>
    </row>
    <row r="32" spans="1:5" x14ac:dyDescent="0.25">
      <c r="A32" s="5" t="s">
        <v>232</v>
      </c>
      <c r="B32" s="5">
        <f>COUNTIF(Enriched!$I$5:$I$38,"Davao Gulf")</f>
        <v>4</v>
      </c>
      <c r="C32" s="5">
        <f>SUMIF(Enriched!$I$5:$I$38,"Davao Gulf",Enriched!$U$5:$U$38)</f>
        <v>5</v>
      </c>
      <c r="D32" s="5">
        <f>SUMIF(Enriched!$I$5:$I$38,"Davao Gulf",Enriched!$V$5:$V$38)</f>
        <v>1</v>
      </c>
      <c r="E32" s="5">
        <f>SUMIF(Enriched!$I$5:$I$38,"Davao Gulf",Enriched!$Y$5:$Y$38)</f>
        <v>28</v>
      </c>
    </row>
    <row r="33" spans="1:6" x14ac:dyDescent="0.25">
      <c r="A33" s="5" t="s">
        <v>178</v>
      </c>
      <c r="B33" s="5">
        <f>COUNTIF(Enriched!$I$5:$I$38,"Palawan Approaches")</f>
        <v>3</v>
      </c>
      <c r="C33" s="5">
        <f>SUMIF(Enriched!$I$5:$I$38,"Palawan Approaches",Enriched!$U$5:$U$38)</f>
        <v>1</v>
      </c>
      <c r="D33" s="5">
        <f>SUMIF(Enriched!$I$5:$I$38,"Palawan Approaches",Enriched!$V$5:$V$38)</f>
        <v>2</v>
      </c>
      <c r="E33" s="5">
        <f>SUMIF(Enriched!$I$5:$I$38,"Palawan Approaches",Enriched!$Y$5:$Y$38)</f>
        <v>12</v>
      </c>
    </row>
    <row r="34" spans="1:6" x14ac:dyDescent="0.25">
      <c r="A34" s="5" t="s">
        <v>301</v>
      </c>
      <c r="B34" s="5">
        <f>COUNTIF(Enriched!$I$5:$I$38,"Iloilo Strait")</f>
        <v>3</v>
      </c>
      <c r="C34" s="5">
        <f>SUMIF(Enriched!$I$5:$I$38,"Iloilo Strait",Enriched!$U$5:$U$38)</f>
        <v>0</v>
      </c>
      <c r="D34" s="5">
        <f>SUMIF(Enriched!$I$5:$I$38,"Iloilo Strait",Enriched!$V$5:$V$38)</f>
        <v>1</v>
      </c>
      <c r="E34" s="5">
        <f>SUMIF(Enriched!$I$5:$I$38,"Iloilo Strait",Enriched!$Y$5:$Y$38)</f>
        <v>6</v>
      </c>
    </row>
    <row r="35" spans="1:6" x14ac:dyDescent="0.25">
      <c r="A35" s="5" t="s">
        <v>368</v>
      </c>
      <c r="B35" s="5">
        <f>COUNTIF(Enriched!$I$5:$I$38,"Bohol Sea")</f>
        <v>2</v>
      </c>
      <c r="C35" s="5">
        <f>SUMIF(Enriched!$I$5:$I$38,"Bohol Sea",Enriched!$U$5:$U$38)</f>
        <v>1</v>
      </c>
      <c r="D35" s="5">
        <f>SUMIF(Enriched!$I$5:$I$38,"Bohol Sea",Enriched!$V$5:$V$38)</f>
        <v>1</v>
      </c>
      <c r="E35" s="5">
        <f>SUMIF(Enriched!$I$5:$I$38,"Bohol Sea",Enriched!$Y$5:$Y$38)</f>
        <v>6</v>
      </c>
    </row>
    <row r="43" spans="1:6" ht="20.100000000000001" customHeight="1" x14ac:dyDescent="0.25">
      <c r="A43" s="26" t="s">
        <v>673</v>
      </c>
      <c r="B43" s="13"/>
      <c r="C43" s="13"/>
      <c r="D43" s="13"/>
      <c r="E43" s="13"/>
      <c r="F43" s="13"/>
    </row>
    <row r="44" spans="1:6" ht="30" x14ac:dyDescent="0.25">
      <c r="A44" s="4" t="s">
        <v>23</v>
      </c>
      <c r="B44" s="4" t="s">
        <v>674</v>
      </c>
      <c r="C44" s="4" t="s">
        <v>615</v>
      </c>
      <c r="D44" s="4" t="s">
        <v>636</v>
      </c>
      <c r="E44" s="4" t="s">
        <v>675</v>
      </c>
    </row>
    <row r="45" spans="1:6" x14ac:dyDescent="0.25">
      <c r="A45" s="5" t="s">
        <v>74</v>
      </c>
      <c r="B45" s="5">
        <f>COUNTIF(Enriched!$E$5:$E$38,"Bulk Carrier")</f>
        <v>5</v>
      </c>
      <c r="C45" s="5">
        <f>SUMIF(Enriched!$E$5:$E$38,"Bulk Carrier",Enriched!$Y$5:$Y$38)</f>
        <v>83</v>
      </c>
      <c r="D45" s="5">
        <f>SUMIF(Enriched!$E$5:$E$38,"Bulk Carrier",Enriched!$W$5:$W$38)</f>
        <v>21</v>
      </c>
      <c r="E45" s="5">
        <f t="shared" ref="E45:E51" si="0">ROUND(C45/MAX(B45,1),0)</f>
        <v>17</v>
      </c>
    </row>
    <row r="46" spans="1:6" x14ac:dyDescent="0.25">
      <c r="A46" s="5" t="s">
        <v>108</v>
      </c>
      <c r="B46" s="5">
        <f>COUNTIF(Enriched!$E$5:$E$38,"Oil Tanker")</f>
        <v>5</v>
      </c>
      <c r="C46" s="5">
        <f>SUMIF(Enriched!$E$5:$E$38,"Oil Tanker",Enriched!$Y$5:$Y$38)</f>
        <v>81</v>
      </c>
      <c r="D46" s="5">
        <f>SUMIF(Enriched!$E$5:$E$38,"Oil Tanker",Enriched!$W$5:$W$38)</f>
        <v>21</v>
      </c>
      <c r="E46" s="5">
        <f t="shared" si="0"/>
        <v>16</v>
      </c>
    </row>
    <row r="47" spans="1:6" x14ac:dyDescent="0.25">
      <c r="A47" s="5" t="s">
        <v>201</v>
      </c>
      <c r="B47" s="5">
        <f>COUNTIF(Enriched!$E$5:$E$38,"Fishing Vessel")</f>
        <v>5</v>
      </c>
      <c r="C47" s="5">
        <f>SUMIF(Enriched!$E$5:$E$38,"Fishing Vessel",Enriched!$Y$5:$Y$38)</f>
        <v>59</v>
      </c>
      <c r="D47" s="5">
        <f>SUMIF(Enriched!$E$5:$E$38,"Fishing Vessel",Enriched!$W$5:$W$38)</f>
        <v>16</v>
      </c>
      <c r="E47" s="5">
        <f t="shared" si="0"/>
        <v>12</v>
      </c>
    </row>
    <row r="48" spans="1:6" x14ac:dyDescent="0.25">
      <c r="A48" s="5" t="s">
        <v>140</v>
      </c>
      <c r="B48" s="5">
        <f>COUNTIF(Enriched!$E$5:$E$38,"Ferry")</f>
        <v>9</v>
      </c>
      <c r="C48" s="5">
        <f>SUMIF(Enriched!$E$5:$E$38,"Ferry",Enriched!$Y$5:$Y$38)</f>
        <v>46</v>
      </c>
      <c r="D48" s="5">
        <f>SUMIF(Enriched!$E$5:$E$38,"Ferry",Enriched!$W$5:$W$38)</f>
        <v>14</v>
      </c>
      <c r="E48" s="5">
        <f t="shared" si="0"/>
        <v>5</v>
      </c>
    </row>
    <row r="49" spans="1:5" x14ac:dyDescent="0.25">
      <c r="A49" s="5" t="s">
        <v>339</v>
      </c>
      <c r="B49" s="5">
        <f>COUNTIF(Enriched!$E$5:$E$38,"General Cargo")</f>
        <v>4</v>
      </c>
      <c r="C49" s="5">
        <f>SUMIF(Enriched!$E$5:$E$38,"General Cargo",Enriched!$Y$5:$Y$38)</f>
        <v>30</v>
      </c>
      <c r="D49" s="5">
        <f>SUMIF(Enriched!$E$5:$E$38,"General Cargo",Enriched!$W$5:$W$38)</f>
        <v>9</v>
      </c>
      <c r="E49" s="5">
        <f t="shared" si="0"/>
        <v>8</v>
      </c>
    </row>
    <row r="50" spans="1:5" x14ac:dyDescent="0.25">
      <c r="A50" s="5" t="s">
        <v>171</v>
      </c>
      <c r="B50" s="5">
        <f>COUNTIF(Enriched!$E$5:$E$38,"Passenger Vessel")</f>
        <v>2</v>
      </c>
      <c r="C50" s="5">
        <f>SUMIF(Enriched!$E$5:$E$38,"Passenger Vessel",Enriched!$Y$5:$Y$38)</f>
        <v>15</v>
      </c>
      <c r="D50" s="5">
        <f>SUMIF(Enriched!$E$5:$E$38,"Passenger Vessel",Enriched!$W$5:$W$38)</f>
        <v>5</v>
      </c>
      <c r="E50" s="5">
        <f t="shared" si="0"/>
        <v>8</v>
      </c>
    </row>
    <row r="51" spans="1:5" x14ac:dyDescent="0.25">
      <c r="A51" s="5" t="s">
        <v>318</v>
      </c>
      <c r="B51" s="5">
        <f>COUNTIF(Enriched!$E$5:$E$38,"Container Ship")</f>
        <v>4</v>
      </c>
      <c r="C51" s="5">
        <f>SUMIF(Enriched!$E$5:$E$38,"Container Ship",Enriched!$Y$5:$Y$38)</f>
        <v>7</v>
      </c>
      <c r="D51" s="5">
        <f>SUMIF(Enriched!$E$5:$E$38,"Container Ship",Enriched!$W$5:$W$38)</f>
        <v>0</v>
      </c>
      <c r="E51" s="5">
        <f t="shared" si="0"/>
        <v>2</v>
      </c>
    </row>
    <row r="62" spans="1:5" ht="20.100000000000001" customHeight="1" x14ac:dyDescent="0.25">
      <c r="A62" s="26" t="s">
        <v>676</v>
      </c>
      <c r="B62" s="13"/>
      <c r="C62" s="13"/>
      <c r="D62" s="13"/>
      <c r="E62" s="13"/>
    </row>
    <row r="63" spans="1:5" x14ac:dyDescent="0.25">
      <c r="A63" s="4" t="s">
        <v>608</v>
      </c>
      <c r="B63" s="4" t="s">
        <v>635</v>
      </c>
      <c r="C63" s="4" t="s">
        <v>636</v>
      </c>
      <c r="D63" s="4" t="s">
        <v>615</v>
      </c>
    </row>
    <row r="64" spans="1:5" x14ac:dyDescent="0.25">
      <c r="A64" s="5" t="s">
        <v>582</v>
      </c>
      <c r="B64" s="5">
        <f>COUNTIF(Enriched!$P$5:$P$38,"Northeast Monsoon")</f>
        <v>9</v>
      </c>
      <c r="C64" s="5">
        <f>SUMIF(Enriched!$P$5:$P$38,"Northeast Monsoon",Enriched!$W$5:$W$38)</f>
        <v>24</v>
      </c>
      <c r="D64" s="5">
        <f>SUMIF(Enriched!$P$5:$P$38,"Northeast Monsoon",Enriched!$Y$5:$Y$38)</f>
        <v>80</v>
      </c>
    </row>
    <row r="65" spans="1:4" x14ac:dyDescent="0.25">
      <c r="A65" s="5" t="s">
        <v>585</v>
      </c>
      <c r="B65" s="5">
        <f>COUNTIF(Enriched!$P$5:$P$38,"Transition Season")</f>
        <v>13</v>
      </c>
      <c r="C65" s="5">
        <f>SUMIF(Enriched!$P$5:$P$38,"Transition Season",Enriched!$W$5:$W$38)</f>
        <v>30</v>
      </c>
      <c r="D65" s="5">
        <f>SUMIF(Enriched!$P$5:$P$38,"Transition Season",Enriched!$Y$5:$Y$38)</f>
        <v>116</v>
      </c>
    </row>
    <row r="66" spans="1:4" x14ac:dyDescent="0.25">
      <c r="A66" s="5" t="s">
        <v>587</v>
      </c>
      <c r="B66" s="5">
        <f>COUNTIF(Enriched!$P$5:$P$38,"Southwest Monsoon")</f>
        <v>8</v>
      </c>
      <c r="C66" s="5">
        <f>SUMIF(Enriched!$P$5:$P$38,"Southwest Monsoon",Enriched!$W$5:$W$38)</f>
        <v>14</v>
      </c>
      <c r="D66" s="5">
        <f>SUMIF(Enriched!$P$5:$P$38,"Southwest Monsoon",Enriched!$Y$5:$Y$38)</f>
        <v>54</v>
      </c>
    </row>
    <row r="67" spans="1:4" x14ac:dyDescent="0.25">
      <c r="A67" s="5" t="s">
        <v>590</v>
      </c>
      <c r="B67" s="5">
        <f>COUNTIF(Enriched!$P$5:$P$38,"Typhoon Season")</f>
        <v>4</v>
      </c>
      <c r="C67" s="5">
        <f>SUMIF(Enriched!$P$5:$P$38,"Typhoon Season",Enriched!$W$5:$W$38)</f>
        <v>18</v>
      </c>
      <c r="D67" s="5">
        <f>SUMIF(Enriched!$P$5:$P$38,"Typhoon Season",Enriched!$Y$5:$Y$38)</f>
        <v>71</v>
      </c>
    </row>
    <row r="81" spans="1:7" ht="20.100000000000001" customHeight="1" x14ac:dyDescent="0.25">
      <c r="A81" s="26" t="s">
        <v>677</v>
      </c>
      <c r="B81" s="13"/>
      <c r="C81" s="13"/>
      <c r="D81" s="13"/>
      <c r="E81" s="13"/>
      <c r="F81" s="13"/>
      <c r="G81" s="13"/>
    </row>
    <row r="82" spans="1:7" ht="30" x14ac:dyDescent="0.25">
      <c r="A82" s="4" t="s">
        <v>38</v>
      </c>
      <c r="B82" s="4" t="s">
        <v>39</v>
      </c>
      <c r="C82" s="4" t="s">
        <v>653</v>
      </c>
      <c r="D82" s="4" t="s">
        <v>64</v>
      </c>
      <c r="E82" s="4" t="s">
        <v>615</v>
      </c>
      <c r="F82" s="4" t="s">
        <v>678</v>
      </c>
      <c r="G82" s="4" t="s">
        <v>671</v>
      </c>
    </row>
    <row r="83" spans="1:7" ht="30" x14ac:dyDescent="0.25">
      <c r="A83" s="5" t="s">
        <v>115</v>
      </c>
      <c r="B83" s="5" t="s">
        <v>116</v>
      </c>
      <c r="C83" s="5">
        <f>COUNTIF(Enriched!$J$5:$J$38,"Batangas-Calapan Transit Lane")</f>
        <v>4</v>
      </c>
      <c r="D83" s="5">
        <f>SUMIF(Enriched!$J$5:$J$38,"Batangas-Calapan Transit Lane",Enriched!$U$5:$U$38)</f>
        <v>1</v>
      </c>
      <c r="E83" s="5">
        <f>SUMIF(Enriched!$J$5:$J$38,"Batangas-Calapan Transit Lane",Enriched!$Y$5:$Y$38)</f>
        <v>56</v>
      </c>
      <c r="F83" s="5" t="s">
        <v>100</v>
      </c>
      <c r="G83" s="5">
        <f>ROUND(AVERAGEIF(Enriched!$J$5:$J$38,"Batangas-Calapan Transit Lane",Enriched!$AD$5:$AD$38),0)</f>
        <v>100</v>
      </c>
    </row>
    <row r="84" spans="1:7" x14ac:dyDescent="0.25">
      <c r="A84" s="5" t="s">
        <v>82</v>
      </c>
      <c r="B84" s="5" t="s">
        <v>323</v>
      </c>
      <c r="C84" s="5">
        <f>COUNTIF(Enriched!$J$5:$J$38,"Manila Bay South Approach")</f>
        <v>2</v>
      </c>
      <c r="D84" s="5">
        <f>SUMIF(Enriched!$J$5:$J$38,"Manila Bay South Approach",Enriched!$U$5:$U$38)</f>
        <v>3</v>
      </c>
      <c r="E84" s="5">
        <f>SUMIF(Enriched!$J$5:$J$38,"Manila Bay South Approach",Enriched!$Y$5:$Y$38)</f>
        <v>41</v>
      </c>
      <c r="F84" s="5" t="s">
        <v>100</v>
      </c>
      <c r="G84" s="5">
        <f>ROUND(AVERAGEIF(Enriched!$J$5:$J$38,"Manila Bay South Approach",Enriched!$AD$5:$AD$38),0)</f>
        <v>100</v>
      </c>
    </row>
    <row r="85" spans="1:7" x14ac:dyDescent="0.25">
      <c r="A85" s="5" t="s">
        <v>82</v>
      </c>
      <c r="B85" s="5" t="s">
        <v>83</v>
      </c>
      <c r="C85" s="5">
        <f>COUNTIF(Enriched!$J$5:$J$38,"Manila Bay North Approach")</f>
        <v>3</v>
      </c>
      <c r="D85" s="5">
        <f>SUMIF(Enriched!$J$5:$J$38,"Manila Bay North Approach",Enriched!$U$5:$U$38)</f>
        <v>2</v>
      </c>
      <c r="E85" s="5">
        <f>SUMIF(Enriched!$J$5:$J$38,"Manila Bay North Approach",Enriched!$Y$5:$Y$38)</f>
        <v>40</v>
      </c>
      <c r="F85" s="5" t="s">
        <v>100</v>
      </c>
      <c r="G85" s="5">
        <f>ROUND(AVERAGEIF(Enriched!$J$5:$J$38,"Manila Bay North Approach",Enriched!$AD$5:$AD$38),0)</f>
        <v>100</v>
      </c>
    </row>
    <row r="86" spans="1:7" ht="30" x14ac:dyDescent="0.25">
      <c r="A86" s="5" t="s">
        <v>146</v>
      </c>
      <c r="B86" s="5" t="s">
        <v>147</v>
      </c>
      <c r="C86" s="5">
        <f>COUNTIF(Enriched!$J$5:$J$38,"Cebu-Mactan Southern Approach")</f>
        <v>4</v>
      </c>
      <c r="D86" s="5">
        <f>SUMIF(Enriched!$J$5:$J$38,"Cebu-Mactan Southern Approach",Enriched!$U$5:$U$38)</f>
        <v>0</v>
      </c>
      <c r="E86" s="5">
        <f>SUMIF(Enriched!$J$5:$J$38,"Cebu-Mactan Southern Approach",Enriched!$Y$5:$Y$38)</f>
        <v>37</v>
      </c>
      <c r="F86" s="5" t="s">
        <v>100</v>
      </c>
      <c r="G86" s="5">
        <f>ROUND(AVERAGEIF(Enriched!$J$5:$J$38,"Cebu-Mactan Southern Approach",Enriched!$AD$5:$AD$38),0)</f>
        <v>100</v>
      </c>
    </row>
    <row r="87" spans="1:7" x14ac:dyDescent="0.25">
      <c r="A87" s="5" t="s">
        <v>206</v>
      </c>
      <c r="B87" s="5" t="s">
        <v>207</v>
      </c>
      <c r="C87" s="5">
        <f>COUNTIF(Enriched!$J$5:$J$38,"Liloan-Surigao Crossing")</f>
        <v>3</v>
      </c>
      <c r="D87" s="5">
        <f>SUMIF(Enriched!$J$5:$J$38,"Liloan-Surigao Crossing",Enriched!$U$5:$U$38)</f>
        <v>4</v>
      </c>
      <c r="E87" s="5">
        <f>SUMIF(Enriched!$J$5:$J$38,"Liloan-Surigao Crossing",Enriched!$Y$5:$Y$38)</f>
        <v>35</v>
      </c>
      <c r="F87" s="5" t="s">
        <v>221</v>
      </c>
      <c r="G87" s="5">
        <f>ROUND(AVERAGEIF(Enriched!$J$5:$J$38,"Liloan-Surigao Crossing",Enriched!$AD$5:$AD$38),0)</f>
        <v>100</v>
      </c>
    </row>
    <row r="88" spans="1:7" x14ac:dyDescent="0.25">
      <c r="A88" s="5" t="s">
        <v>254</v>
      </c>
      <c r="B88" s="5" t="s">
        <v>255</v>
      </c>
      <c r="C88" s="5">
        <f>COUNTIF(Enriched!$J$5:$J$38,"Matnog-Allen Ferry Transit")</f>
        <v>3</v>
      </c>
      <c r="D88" s="5">
        <f>SUMIF(Enriched!$J$5:$J$38,"Matnog-Allen Ferry Transit",Enriched!$U$5:$U$38)</f>
        <v>1</v>
      </c>
      <c r="E88" s="5">
        <f>SUMIF(Enriched!$J$5:$J$38,"Matnog-Allen Ferry Transit",Enriched!$Y$5:$Y$38)</f>
        <v>31</v>
      </c>
      <c r="F88" s="5" t="s">
        <v>132</v>
      </c>
      <c r="G88" s="5">
        <f>ROUND(AVERAGEIF(Enriched!$J$5:$J$38,"Matnog-Allen Ferry Transit",Enriched!$AD$5:$AD$38),0)</f>
        <v>100</v>
      </c>
    </row>
  </sheetData>
  <mergeCells count="7">
    <mergeCell ref="A62:E62"/>
    <mergeCell ref="A81:G81"/>
    <mergeCell ref="A1:P1"/>
    <mergeCell ref="A2:P2"/>
    <mergeCell ref="A4:G4"/>
    <mergeCell ref="A24:E24"/>
    <mergeCell ref="A43:F4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"/>
  <sheetViews>
    <sheetView showGridLines="0" workbookViewId="0"/>
  </sheetViews>
  <sheetFormatPr defaultRowHeight="15" x14ac:dyDescent="0.25"/>
  <cols>
    <col min="1" max="1" width="24" customWidth="1"/>
    <col min="2" max="2" width="14" customWidth="1"/>
    <col min="3" max="3" width="18" customWidth="1"/>
    <col min="4" max="4" width="4" customWidth="1"/>
    <col min="5" max="7" width="14" customWidth="1"/>
    <col min="8" max="8" width="22" customWidth="1"/>
    <col min="9" max="9" width="30" customWidth="1"/>
    <col min="10" max="10" width="12" customWidth="1"/>
    <col min="11" max="11" width="4" customWidth="1"/>
    <col min="12" max="12" width="22" customWidth="1"/>
    <col min="13" max="13" width="12" customWidth="1"/>
    <col min="14" max="17" width="14" customWidth="1"/>
  </cols>
  <sheetData>
    <row r="1" spans="1:16" ht="26.1" customHeight="1" x14ac:dyDescent="0.25">
      <c r="A1" s="12" t="s">
        <v>679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100000000000001" customHeight="1" x14ac:dyDescent="0.25">
      <c r="A2" s="14" t="s">
        <v>680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20.100000000000001" customHeight="1" x14ac:dyDescent="0.25">
      <c r="A4" s="26" t="s">
        <v>681</v>
      </c>
      <c r="B4" s="13"/>
      <c r="C4" s="13"/>
      <c r="D4" s="13"/>
      <c r="E4" s="13"/>
    </row>
    <row r="5" spans="1:16" ht="30" x14ac:dyDescent="0.25">
      <c r="A5" s="4" t="s">
        <v>682</v>
      </c>
      <c r="B5" s="4" t="s">
        <v>683</v>
      </c>
      <c r="C5" s="4" t="s">
        <v>684</v>
      </c>
      <c r="D5" s="4" t="s">
        <v>685</v>
      </c>
      <c r="E5" s="4" t="s">
        <v>686</v>
      </c>
      <c r="H5" s="4" t="s">
        <v>682</v>
      </c>
      <c r="I5" s="4" t="s">
        <v>683</v>
      </c>
      <c r="J5" s="4" t="s">
        <v>686</v>
      </c>
    </row>
    <row r="6" spans="1:16" ht="60" x14ac:dyDescent="0.25">
      <c r="A6" s="5" t="s">
        <v>687</v>
      </c>
      <c r="B6" s="5" t="s">
        <v>688</v>
      </c>
      <c r="C6" s="5">
        <f>COUNTIF(Enriched!$Z$5:$Z$999,1)</f>
        <v>34</v>
      </c>
      <c r="D6" s="5">
        <f>COUNTA(Enriched!$A$5:$A$999)</f>
        <v>34</v>
      </c>
      <c r="E6" s="5">
        <f t="shared" ref="E6:E11" si="0">ROUND(C6/D6*100,0)</f>
        <v>100</v>
      </c>
      <c r="H6" s="5" t="s">
        <v>687</v>
      </c>
      <c r="I6" s="5" t="s">
        <v>688</v>
      </c>
      <c r="J6" s="5">
        <f t="shared" ref="J6:J11" si="1">INDEX($E$6:$E$11,MATCH(H6,$A$6:$A$11,0))</f>
        <v>100</v>
      </c>
    </row>
    <row r="7" spans="1:16" ht="75" x14ac:dyDescent="0.25">
      <c r="A7" s="5" t="s">
        <v>689</v>
      </c>
      <c r="B7" s="5" t="s">
        <v>690</v>
      </c>
      <c r="C7" s="5">
        <f>COUNTIFS(Enriched!$AA$5:$AA$999,1,Enriched!$AC$5:$AC$999,"&lt;&gt;Route pending")</f>
        <v>34</v>
      </c>
      <c r="D7" s="5">
        <f>COUNTA(Enriched!$A$5:$A$999)</f>
        <v>34</v>
      </c>
      <c r="E7" s="5">
        <f t="shared" si="0"/>
        <v>100</v>
      </c>
      <c r="H7" s="5" t="s">
        <v>689</v>
      </c>
      <c r="I7" s="5" t="s">
        <v>690</v>
      </c>
      <c r="J7" s="5">
        <f t="shared" si="1"/>
        <v>100</v>
      </c>
    </row>
    <row r="8" spans="1:16" ht="60" x14ac:dyDescent="0.25">
      <c r="A8" s="5" t="s">
        <v>691</v>
      </c>
      <c r="B8" s="5" t="s">
        <v>692</v>
      </c>
      <c r="C8" s="5">
        <f>COUNTIF(Enriched!$AB$5:$AB$999,1)</f>
        <v>34</v>
      </c>
      <c r="D8" s="5">
        <f>COUNTA(Enriched!$A$5:$A$999)</f>
        <v>34</v>
      </c>
      <c r="E8" s="5">
        <f t="shared" si="0"/>
        <v>100</v>
      </c>
      <c r="H8" s="5" t="s">
        <v>691</v>
      </c>
      <c r="I8" s="5" t="s">
        <v>692</v>
      </c>
      <c r="J8" s="5">
        <f t="shared" si="1"/>
        <v>100</v>
      </c>
    </row>
    <row r="9" spans="1:16" ht="45" x14ac:dyDescent="0.25">
      <c r="A9" s="5" t="s">
        <v>693</v>
      </c>
      <c r="B9" s="5" t="s">
        <v>694</v>
      </c>
      <c r="C9" s="5">
        <f>COUNTIFS(Raw_Incidents!$AR$5:$AR$999,"&lt;&gt;",Raw_Incidents!$AS$5:$AS$999,"&lt;&gt;")</f>
        <v>34</v>
      </c>
      <c r="D9" s="5">
        <f>COUNTA(Enriched!$A$5:$A$999)</f>
        <v>34</v>
      </c>
      <c r="E9" s="5">
        <f t="shared" si="0"/>
        <v>100</v>
      </c>
      <c r="H9" s="5" t="s">
        <v>693</v>
      </c>
      <c r="I9" s="5" t="s">
        <v>694</v>
      </c>
      <c r="J9" s="5">
        <f t="shared" si="1"/>
        <v>100</v>
      </c>
    </row>
    <row r="10" spans="1:16" ht="60" x14ac:dyDescent="0.25">
      <c r="A10" s="5" t="s">
        <v>695</v>
      </c>
      <c r="B10" s="5" t="s">
        <v>696</v>
      </c>
      <c r="C10" s="5">
        <f>COUNTIF(Enriched!$AE$5:$AE$999,1)</f>
        <v>34</v>
      </c>
      <c r="D10" s="5">
        <f>COUNTA(Enriched!$A$5:$A$999)</f>
        <v>34</v>
      </c>
      <c r="E10" s="5">
        <f t="shared" si="0"/>
        <v>100</v>
      </c>
      <c r="H10" s="5" t="s">
        <v>695</v>
      </c>
      <c r="I10" s="5" t="s">
        <v>696</v>
      </c>
      <c r="J10" s="5">
        <f t="shared" si="1"/>
        <v>100</v>
      </c>
    </row>
    <row r="11" spans="1:16" ht="60" x14ac:dyDescent="0.25">
      <c r="A11" s="5" t="s">
        <v>697</v>
      </c>
      <c r="B11" s="5" t="s">
        <v>698</v>
      </c>
      <c r="C11" s="5">
        <f>COUNTIFS(Raw_Incidents!$AB$5:$AB$999,"&lt;&gt;")+COUNTIFS(Raw_Incidents!$AD$5:$AD$999,"&lt;&gt;")-COUNTIFS(Raw_Incidents!$AB$5:$AB$999,"&lt;&gt;",Raw_Incidents!$AD$5:$AD$999,"&lt;&gt;")</f>
        <v>34</v>
      </c>
      <c r="D11" s="5">
        <f>COUNTA(Enriched!$A$5:$A$999)</f>
        <v>34</v>
      </c>
      <c r="E11" s="5">
        <f t="shared" si="0"/>
        <v>100</v>
      </c>
      <c r="H11" s="5" t="s">
        <v>697</v>
      </c>
      <c r="I11" s="5" t="s">
        <v>698</v>
      </c>
      <c r="J11" s="5">
        <f t="shared" si="1"/>
        <v>100</v>
      </c>
    </row>
    <row r="23" spans="1:13" ht="20.100000000000001" customHeight="1" x14ac:dyDescent="0.25">
      <c r="A23" s="26" t="s">
        <v>699</v>
      </c>
      <c r="B23" s="13"/>
      <c r="C23" s="13"/>
      <c r="D23" s="13"/>
    </row>
    <row r="24" spans="1:13" ht="30" x14ac:dyDescent="0.25">
      <c r="A24" s="4" t="s">
        <v>54</v>
      </c>
      <c r="B24" s="4" t="s">
        <v>653</v>
      </c>
      <c r="C24" s="4" t="s">
        <v>671</v>
      </c>
      <c r="L24" s="4" t="s">
        <v>53</v>
      </c>
      <c r="M24" s="4" t="s">
        <v>653</v>
      </c>
    </row>
    <row r="25" spans="1:13" x14ac:dyDescent="0.25">
      <c r="A25" s="5" t="s">
        <v>95</v>
      </c>
      <c r="B25" s="5">
        <f>COUNTIF(Enriched!$G$5:$G$38,"Published")</f>
        <v>15</v>
      </c>
      <c r="C25" s="5">
        <f>ROUND(AVERAGEIF(Enriched!$G$5:$G$38,"Published",Enriched!$AD$5:$AD$38),0)</f>
        <v>100</v>
      </c>
      <c r="L25" s="5" t="s">
        <v>94</v>
      </c>
      <c r="M25" s="5">
        <f>COUNTIF(Enriched!$AK$5:$AK$38,"Web Portal")</f>
        <v>10</v>
      </c>
    </row>
    <row r="26" spans="1:13" x14ac:dyDescent="0.25">
      <c r="A26" s="5" t="s">
        <v>158</v>
      </c>
      <c r="B26" s="5">
        <f>COUNTIF(Enriched!$G$5:$G$38,"Verified")</f>
        <v>12</v>
      </c>
      <c r="C26" s="5">
        <f>ROUND(AVERAGEIF(Enriched!$G$5:$G$38,"Verified",Enriched!$AD$5:$AD$38),0)</f>
        <v>100</v>
      </c>
      <c r="L26" s="5" t="s">
        <v>126</v>
      </c>
      <c r="M26" s="5">
        <f>COUNTIF(Enriched!$AK$5:$AK$38,"Inter-agency Intake")</f>
        <v>8</v>
      </c>
    </row>
    <row r="27" spans="1:13" x14ac:dyDescent="0.25">
      <c r="A27" s="5" t="s">
        <v>127</v>
      </c>
      <c r="B27" s="5">
        <f>COUNTIF(Enriched!$G$5:$G$38,"Under Review")</f>
        <v>7</v>
      </c>
      <c r="C27" s="5">
        <f>ROUND(AVERAGEIF(Enriched!$G$5:$G$38,"Under Review",Enriched!$AD$5:$AD$38),0)</f>
        <v>100</v>
      </c>
      <c r="L27" s="5" t="s">
        <v>157</v>
      </c>
      <c r="M27" s="5">
        <f>COUNTIF(Enriched!$AK$5:$AK$38,"Mobile App")</f>
        <v>7</v>
      </c>
    </row>
    <row r="28" spans="1:13" x14ac:dyDescent="0.25">
      <c r="L28" s="5" t="s">
        <v>216</v>
      </c>
      <c r="M28" s="5">
        <f>COUNTIF(Enriched!$AK$5:$AK$38,"Manual Encoding")</f>
        <v>5</v>
      </c>
    </row>
    <row r="29" spans="1:13" x14ac:dyDescent="0.25">
      <c r="L29" s="5" t="s">
        <v>187</v>
      </c>
      <c r="M29" s="5">
        <f>COUNTIF(Enriched!$AK$5:$AK$38,"Email Intake")</f>
        <v>4</v>
      </c>
    </row>
  </sheetData>
  <mergeCells count="4">
    <mergeCell ref="A1:P1"/>
    <mergeCell ref="A2:P2"/>
    <mergeCell ref="A4:E4"/>
    <mergeCell ref="A23:D23"/>
  </mergeCells>
  <conditionalFormatting sqref="E6:E11">
    <cfRule type="dataBar" priority="1">
      <dataBar>
        <cfvo type="num" val="0"/>
        <cfvo type="num" val="100"/>
        <color rgb="FF2563EB"/>
      </dataBar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showGridLines="0" workbookViewId="0"/>
  </sheetViews>
  <sheetFormatPr defaultRowHeight="15" x14ac:dyDescent="0.25"/>
  <cols>
    <col min="1" max="1" width="28" customWidth="1"/>
    <col min="2" max="2" width="16" customWidth="1"/>
    <col min="3" max="3" width="18" customWidth="1"/>
    <col min="4" max="4" width="24" customWidth="1"/>
    <col min="5" max="5" width="16" customWidth="1"/>
    <col min="6" max="7" width="12" customWidth="1"/>
    <col min="8" max="8" width="14" customWidth="1"/>
    <col min="9" max="9" width="16" customWidth="1"/>
    <col min="10" max="10" width="34" customWidth="1"/>
    <col min="11" max="11" width="32" customWidth="1"/>
    <col min="12" max="12" width="40" customWidth="1"/>
    <col min="13" max="13" width="4" customWidth="1"/>
    <col min="14" max="21" width="14" customWidth="1"/>
  </cols>
  <sheetData>
    <row r="1" spans="1:16" ht="26.1" customHeight="1" x14ac:dyDescent="0.25">
      <c r="A1" s="12" t="s">
        <v>700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100000000000001" customHeight="1" x14ac:dyDescent="0.25">
      <c r="A2" s="14" t="s">
        <v>701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8" customHeight="1" x14ac:dyDescent="0.25">
      <c r="A4" s="20" t="s">
        <v>702</v>
      </c>
      <c r="B4" s="17"/>
      <c r="C4" s="16" t="s">
        <v>703</v>
      </c>
      <c r="D4" s="17"/>
      <c r="E4" s="30" t="s">
        <v>704</v>
      </c>
      <c r="F4" s="17"/>
      <c r="G4" s="24" t="s">
        <v>705</v>
      </c>
      <c r="H4" s="17"/>
    </row>
    <row r="5" spans="1:16" ht="21.95" customHeight="1" x14ac:dyDescent="0.25">
      <c r="A5" s="21" t="str">
        <f>Exposure_Analysis!A6</f>
        <v>Batangas-Calapan Transit Lane</v>
      </c>
      <c r="B5" s="17"/>
      <c r="C5" s="18" t="str">
        <f>Causal_Analysis!A6</f>
        <v>Navigation Error</v>
      </c>
      <c r="D5" s="17"/>
      <c r="E5" s="31">
        <f>COUNTIFS(Enriched!$Q$5:$Q$999,"Weather Conditions",Enriched!$E$5:$E$999,"Fishing Vessel")</f>
        <v>4</v>
      </c>
      <c r="F5" s="17"/>
      <c r="G5" s="25" t="str">
        <f>ROUND(AVERAGE(Enriched!$AD$5:$AD$999),0)&amp;"%"</f>
        <v>100%</v>
      </c>
      <c r="H5" s="17"/>
    </row>
    <row r="6" spans="1:16" ht="21.95" customHeight="1" x14ac:dyDescent="0.25">
      <c r="A6" s="17"/>
      <c r="B6" s="17"/>
      <c r="C6" s="17"/>
      <c r="D6" s="17"/>
      <c r="E6" s="17"/>
      <c r="F6" s="17"/>
      <c r="G6" s="17"/>
      <c r="H6" s="17"/>
    </row>
    <row r="7" spans="1:16" ht="18" customHeight="1" x14ac:dyDescent="0.25">
      <c r="A7" s="19" t="s">
        <v>706</v>
      </c>
      <c r="B7" s="17"/>
      <c r="C7" s="19" t="s">
        <v>707</v>
      </c>
      <c r="D7" s="17"/>
      <c r="E7" s="19" t="s">
        <v>708</v>
      </c>
      <c r="F7" s="17"/>
      <c r="G7" s="19" t="s">
        <v>709</v>
      </c>
      <c r="H7" s="17"/>
    </row>
    <row r="8" spans="1:16" ht="18" customHeight="1" x14ac:dyDescent="0.25">
      <c r="A8" s="17"/>
      <c r="B8" s="17"/>
      <c r="C8" s="17"/>
      <c r="D8" s="17"/>
      <c r="E8" s="17"/>
      <c r="F8" s="17"/>
      <c r="G8" s="17"/>
      <c r="H8" s="17"/>
    </row>
    <row r="11" spans="1:16" ht="20.100000000000001" customHeight="1" x14ac:dyDescent="0.25">
      <c r="A11" s="26" t="s">
        <v>710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6" ht="30" x14ac:dyDescent="0.25">
      <c r="A12" s="4" t="s">
        <v>711</v>
      </c>
      <c r="B12" s="4" t="s">
        <v>712</v>
      </c>
      <c r="C12" s="4" t="s">
        <v>713</v>
      </c>
      <c r="D12" s="4" t="s">
        <v>714</v>
      </c>
      <c r="E12" s="4" t="s">
        <v>715</v>
      </c>
      <c r="F12" s="4" t="s">
        <v>64</v>
      </c>
      <c r="G12" s="4" t="s">
        <v>65</v>
      </c>
      <c r="H12" s="4" t="s">
        <v>716</v>
      </c>
      <c r="I12" s="4" t="s">
        <v>717</v>
      </c>
      <c r="J12" s="4" t="s">
        <v>718</v>
      </c>
      <c r="K12" s="4" t="s">
        <v>719</v>
      </c>
      <c r="L12" s="4" t="s">
        <v>720</v>
      </c>
    </row>
    <row r="13" spans="1:16" ht="45" x14ac:dyDescent="0.25">
      <c r="A13" s="5" t="s">
        <v>721</v>
      </c>
      <c r="B13" s="5" t="s">
        <v>722</v>
      </c>
      <c r="C13" s="5" t="s">
        <v>723</v>
      </c>
      <c r="D13" s="5" t="s">
        <v>724</v>
      </c>
      <c r="E13" s="5">
        <f>COUNTIF(Enriched!$J$5:$J$38,"Batangas-Calapan Transit Lane")</f>
        <v>4</v>
      </c>
      <c r="F13" s="5">
        <f>SUMIF(Enriched!$J$5:$J$38,"Batangas-Calapan Transit Lane",Enriched!$U$5:$U$38)</f>
        <v>1</v>
      </c>
      <c r="G13" s="5">
        <f>SUMIF(Enriched!$J$5:$J$38,"Batangas-Calapan Transit Lane",Enriched!$V$5:$V$38)</f>
        <v>15</v>
      </c>
      <c r="H13" s="5">
        <f>ROUND((AVERAGEIF(Enriched!$J$5:$J$38,"Batangas-Calapan Transit Lane",Enriched!$AD$5:$AD$38)*0.5)+(COUNTIFS(Enriched!$J$5:$J$38,"Batangas-Calapan Transit Lane",Enriched!$AE$5:$AE$38,1)/E13*100*0.25)+(COUNTIFS(Enriched!$J$5:$J$38,"Batangas-Calapan Transit Lane",Enriched!$AF$5:$AF$38,1)/E13*100*0.25),0)</f>
        <v>88</v>
      </c>
      <c r="I13" s="5" t="str">
        <f>IF(H13&gt;=80,"High",IF(H13&gt;=65,"Moderate","Low"))</f>
        <v>High</v>
      </c>
      <c r="J13" s="5" t="str">
        <f>E13&amp;" supporting records, "&amp;F13&amp;" fatalities, "&amp;G13&amp;" injuries, and "&amp;ROUND(AVERAGE(Enriched!$AD$5:$AD$38),0)&amp;"% average record completeness."</f>
        <v>4 supporting records, 1 fatalities, 15 injuries, and 100% average record completeness.</v>
      </c>
      <c r="K13" s="5" t="str">
        <f>I13&amp;" confidence based on subset completeness, linked evidence coverage, and review maturity."</f>
        <v>High confidence based on subset completeness, linked evidence coverage, and review maturity.</v>
      </c>
      <c r="L13" s="5" t="s">
        <v>725</v>
      </c>
    </row>
    <row r="14" spans="1:16" ht="60" x14ac:dyDescent="0.25">
      <c r="A14" s="5" t="s">
        <v>726</v>
      </c>
      <c r="B14" s="5" t="s">
        <v>722</v>
      </c>
      <c r="C14" s="5" t="s">
        <v>727</v>
      </c>
      <c r="D14" s="5" t="s">
        <v>728</v>
      </c>
      <c r="E14" s="5">
        <f>COUNTIF(Enriched!$Q$5:$Q$38,"Navigation Error")</f>
        <v>15</v>
      </c>
      <c r="F14" s="5">
        <f>SUMIF(Enriched!$Q$5:$Q$38,"Navigation Error",Enriched!$U$5:$U$38)</f>
        <v>5</v>
      </c>
      <c r="G14" s="5">
        <f>SUMIF(Enriched!$Q$5:$Q$38,"Navigation Error",Enriched!$V$5:$V$38)</f>
        <v>35</v>
      </c>
      <c r="H14" s="5">
        <f>ROUND((AVERAGEIF(Enriched!$Q$5:$Q$38,"Navigation Error",Enriched!$AD$5:$AD$38)*0.5)+(COUNTIFS(Enriched!$Q$5:$Q$38,"Navigation Error",Enriched!$AE$5:$AE$38,1)/E14*100*0.25)+(COUNTIFS(Enriched!$Q$5:$Q$38,"Navigation Error",Enriched!$AF$5:$AF$38,1)/E14*100*0.25),0)</f>
        <v>92</v>
      </c>
      <c r="I14" s="5" t="str">
        <f>IF(H14&gt;=80,"High",IF(H14&gt;=65,"Moderate","Low"))</f>
        <v>High</v>
      </c>
      <c r="J14" s="5" t="str">
        <f>E14&amp;" supporting records, "&amp;F14&amp;" fatalities, "&amp;G14&amp;" injuries, and "&amp;ROUND(AVERAGE(Enriched!$AD$5:$AD$38),0)&amp;"% average record completeness."</f>
        <v>15 supporting records, 5 fatalities, 35 injuries, and 100% average record completeness.</v>
      </c>
      <c r="K14" s="5" t="str">
        <f>I14&amp;" confidence based on subset completeness, linked evidence coverage, and review maturity."</f>
        <v>High confidence based on subset completeness, linked evidence coverage, and review maturity.</v>
      </c>
      <c r="L14" s="5" t="s">
        <v>729</v>
      </c>
    </row>
    <row r="15" spans="1:16" ht="60" x14ac:dyDescent="0.25">
      <c r="A15" s="5" t="s">
        <v>730</v>
      </c>
      <c r="B15" s="5" t="s">
        <v>722</v>
      </c>
      <c r="C15" s="5" t="s">
        <v>731</v>
      </c>
      <c r="D15" s="5" t="s">
        <v>732</v>
      </c>
      <c r="E15" s="5">
        <f>COUNTIFS(Enriched!$Q$5:$Q$38,"Weather Conditions",Enriched!$E$5:$E$38,"Fishing Vessel")</f>
        <v>4</v>
      </c>
      <c r="F15" s="5">
        <f>SUMIFS(Enriched!$U$5:$U$38,Enriched!$Q$5:$Q$38,"Weather Conditions",Enriched!$E$5:$E$38,"Fishing Vessel")</f>
        <v>9</v>
      </c>
      <c r="G15" s="5">
        <f>SUMIFS(Enriched!$V$5:$V$38,Enriched!$Q$5:$Q$38,"Weather Conditions",Enriched!$E$5:$E$38,"Fishing Vessel")</f>
        <v>5</v>
      </c>
      <c r="H15" s="5">
        <f>ROUND((AVERAGEIFS(Enriched!$AD$5:$AD$38,Enriched!$Q$5:$Q$38,"Weather Conditions",Enriched!$E$5:$E$38,"Fishing Vessel")*0.5)+(COUNTIFS(Enriched!$Q$5:$Q$38,"Weather Conditions",Enriched!$E$5:$E$38,"Fishing Vessel",Enriched!$AE$5:$AE$38,1)/E15*100*0.25)+(COUNTIFS(Enriched!$Q$5:$Q$38,"Weather Conditions",Enriched!$E$5:$E$38,"Fishing Vessel",Enriched!$AF$5:$AF$38,1)/E15*100*0.25),0)</f>
        <v>100</v>
      </c>
      <c r="I15" s="5" t="str">
        <f>IF(H15&gt;=80,"High",IF(H15&gt;=65,"Moderate","Low"))</f>
        <v>High</v>
      </c>
      <c r="J15" s="5" t="str">
        <f>E15&amp;" supporting records, "&amp;F15&amp;" fatalities, "&amp;G15&amp;" injuries, and "&amp;ROUND(AVERAGE(Enriched!$AD$5:$AD$38),0)&amp;"% average record completeness."</f>
        <v>4 supporting records, 9 fatalities, 5 injuries, and 100% average record completeness.</v>
      </c>
      <c r="K15" s="5" t="str">
        <f>I15&amp;" confidence based on subset completeness, linked evidence coverage, and review maturity."</f>
        <v>High confidence based on subset completeness, linked evidence coverage, and review maturity.</v>
      </c>
      <c r="L15" s="5" t="s">
        <v>733</v>
      </c>
    </row>
    <row r="16" spans="1:16" ht="60" x14ac:dyDescent="0.25">
      <c r="A16" s="5" t="s">
        <v>734</v>
      </c>
      <c r="B16" s="5" t="s">
        <v>735</v>
      </c>
      <c r="C16" s="5" t="s">
        <v>736</v>
      </c>
      <c r="D16" s="5" t="s">
        <v>737</v>
      </c>
      <c r="E16" s="5">
        <f>COUNTIF(Enriched!$Q$5:$Q$38,"Mechanical Failure")</f>
        <v>11</v>
      </c>
      <c r="F16" s="5">
        <f>SUMIF(Enriched!$Q$5:$Q$38,"Mechanical Failure",Enriched!$U$5:$U$38)</f>
        <v>2</v>
      </c>
      <c r="G16" s="5">
        <f>SUMIF(Enriched!$Q$5:$Q$38,"Mechanical Failure",Enriched!$V$5:$V$38)</f>
        <v>21</v>
      </c>
      <c r="H16" s="5">
        <f>ROUND((AVERAGEIF(Enriched!$Q$5:$Q$38,"Mechanical Failure",Enriched!$AD$5:$AD$38)*0.5)+(COUNTIFS(Enriched!$Q$5:$Q$38,"Mechanical Failure",Enriched!$AE$5:$AE$38,1)/E16*100*0.25)+(COUNTIFS(Enriched!$Q$5:$Q$38,"Mechanical Failure",Enriched!$AF$5:$AF$38,1)/E16*100*0.25),0)</f>
        <v>95</v>
      </c>
      <c r="I16" s="5" t="str">
        <f>IF(H16&gt;=80,"High",IF(H16&gt;=65,"Moderate","Low"))</f>
        <v>High</v>
      </c>
      <c r="J16" s="5" t="str">
        <f>E16&amp;" supporting records, "&amp;F16&amp;" fatalities, "&amp;G16&amp;" injuries, and "&amp;ROUND(AVERAGE(Enriched!$AD$5:$AD$38),0)&amp;"% average record completeness."</f>
        <v>11 supporting records, 2 fatalities, 21 injuries, and 100% average record completeness.</v>
      </c>
      <c r="K16" s="5" t="str">
        <f>I16&amp;" confidence based on subset completeness, linked evidence coverage, and review maturity."</f>
        <v>High confidence based on subset completeness, linked evidence coverage, and review maturity.</v>
      </c>
      <c r="L16" s="5" t="s">
        <v>738</v>
      </c>
    </row>
    <row r="29" spans="1:7" ht="20.100000000000001" customHeight="1" x14ac:dyDescent="0.25">
      <c r="A29" s="26" t="s">
        <v>739</v>
      </c>
      <c r="B29" s="13"/>
      <c r="C29" s="13"/>
      <c r="D29" s="13"/>
      <c r="E29" s="13"/>
      <c r="F29" s="13"/>
      <c r="G29" s="13"/>
    </row>
    <row r="30" spans="1:7" ht="45" x14ac:dyDescent="0.25">
      <c r="A30" s="4" t="s">
        <v>38</v>
      </c>
      <c r="B30" s="4" t="s">
        <v>39</v>
      </c>
      <c r="C30" s="4" t="s">
        <v>653</v>
      </c>
      <c r="D30" s="4" t="s">
        <v>64</v>
      </c>
      <c r="E30" s="4" t="s">
        <v>615</v>
      </c>
      <c r="F30" s="4" t="s">
        <v>678</v>
      </c>
      <c r="G30" s="4" t="s">
        <v>671</v>
      </c>
    </row>
    <row r="31" spans="1:7" ht="45" x14ac:dyDescent="0.25">
      <c r="A31" s="5" t="s">
        <v>115</v>
      </c>
      <c r="B31" s="5" t="s">
        <v>116</v>
      </c>
      <c r="C31" s="5">
        <f>COUNTIF(Enriched!$J$5:$J$38,"Batangas-Calapan Transit Lane")</f>
        <v>4</v>
      </c>
      <c r="D31" s="5">
        <f>SUMIF(Enriched!$J$5:$J$38,"Batangas-Calapan Transit Lane",Enriched!$U$5:$U$38)</f>
        <v>1</v>
      </c>
      <c r="E31" s="5">
        <f>SUMIF(Enriched!$J$5:$J$38,"Batangas-Calapan Transit Lane",Enriched!$Y$5:$Y$38)</f>
        <v>56</v>
      </c>
      <c r="F31" s="5" t="s">
        <v>100</v>
      </c>
      <c r="G31" s="5">
        <f>ROUND(AVERAGEIF(Enriched!$J$5:$J$38,"Batangas-Calapan Transit Lane",Enriched!$AD$5:$AD$38),0)</f>
        <v>100</v>
      </c>
    </row>
    <row r="32" spans="1:7" ht="30" x14ac:dyDescent="0.25">
      <c r="A32" s="5" t="s">
        <v>82</v>
      </c>
      <c r="B32" s="5" t="s">
        <v>323</v>
      </c>
      <c r="C32" s="5">
        <f>COUNTIF(Enriched!$J$5:$J$38,"Manila Bay South Approach")</f>
        <v>2</v>
      </c>
      <c r="D32" s="5">
        <f>SUMIF(Enriched!$J$5:$J$38,"Manila Bay South Approach",Enriched!$U$5:$U$38)</f>
        <v>3</v>
      </c>
      <c r="E32" s="5">
        <f>SUMIF(Enriched!$J$5:$J$38,"Manila Bay South Approach",Enriched!$Y$5:$Y$38)</f>
        <v>41</v>
      </c>
      <c r="F32" s="5" t="s">
        <v>100</v>
      </c>
      <c r="G32" s="5">
        <f>ROUND(AVERAGEIF(Enriched!$J$5:$J$38,"Manila Bay South Approach",Enriched!$AD$5:$AD$38),0)</f>
        <v>100</v>
      </c>
    </row>
    <row r="33" spans="1:7" ht="30" x14ac:dyDescent="0.25">
      <c r="A33" s="5" t="s">
        <v>82</v>
      </c>
      <c r="B33" s="5" t="s">
        <v>83</v>
      </c>
      <c r="C33" s="5">
        <f>COUNTIF(Enriched!$J$5:$J$38,"Manila Bay North Approach")</f>
        <v>3</v>
      </c>
      <c r="D33" s="5">
        <f>SUMIF(Enriched!$J$5:$J$38,"Manila Bay North Approach",Enriched!$U$5:$U$38)</f>
        <v>2</v>
      </c>
      <c r="E33" s="5">
        <f>SUMIF(Enriched!$J$5:$J$38,"Manila Bay North Approach",Enriched!$Y$5:$Y$38)</f>
        <v>40</v>
      </c>
      <c r="F33" s="5" t="s">
        <v>100</v>
      </c>
      <c r="G33" s="5">
        <f>ROUND(AVERAGEIF(Enriched!$J$5:$J$38,"Manila Bay North Approach",Enriched!$AD$5:$AD$38),0)</f>
        <v>100</v>
      </c>
    </row>
    <row r="34" spans="1:7" ht="45" x14ac:dyDescent="0.25">
      <c r="A34" s="5" t="s">
        <v>146</v>
      </c>
      <c r="B34" s="5" t="s">
        <v>147</v>
      </c>
      <c r="C34" s="5">
        <f>COUNTIF(Enriched!$J$5:$J$38,"Cebu-Mactan Southern Approach")</f>
        <v>4</v>
      </c>
      <c r="D34" s="5">
        <f>SUMIF(Enriched!$J$5:$J$38,"Cebu-Mactan Southern Approach",Enriched!$U$5:$U$38)</f>
        <v>0</v>
      </c>
      <c r="E34" s="5">
        <f>SUMIF(Enriched!$J$5:$J$38,"Cebu-Mactan Southern Approach",Enriched!$Y$5:$Y$38)</f>
        <v>37</v>
      </c>
      <c r="F34" s="5" t="s">
        <v>100</v>
      </c>
      <c r="G34" s="5">
        <f>ROUND(AVERAGEIF(Enriched!$J$5:$J$38,"Cebu-Mactan Southern Approach",Enriched!$AD$5:$AD$38),0)</f>
        <v>100</v>
      </c>
    </row>
    <row r="35" spans="1:7" ht="30" x14ac:dyDescent="0.25">
      <c r="A35" s="5" t="s">
        <v>206</v>
      </c>
      <c r="B35" s="5" t="s">
        <v>207</v>
      </c>
      <c r="C35" s="5">
        <f>COUNTIF(Enriched!$J$5:$J$38,"Liloan-Surigao Crossing")</f>
        <v>3</v>
      </c>
      <c r="D35" s="5">
        <f>SUMIF(Enriched!$J$5:$J$38,"Liloan-Surigao Crossing",Enriched!$U$5:$U$38)</f>
        <v>4</v>
      </c>
      <c r="E35" s="5">
        <f>SUMIF(Enriched!$J$5:$J$38,"Liloan-Surigao Crossing",Enriched!$Y$5:$Y$38)</f>
        <v>35</v>
      </c>
      <c r="F35" s="5" t="s">
        <v>221</v>
      </c>
      <c r="G35" s="5">
        <f>ROUND(AVERAGEIF(Enriched!$J$5:$J$38,"Liloan-Surigao Crossing",Enriched!$AD$5:$AD$38),0)</f>
        <v>100</v>
      </c>
    </row>
    <row r="36" spans="1:7" ht="30" x14ac:dyDescent="0.25">
      <c r="A36" s="5" t="s">
        <v>254</v>
      </c>
      <c r="B36" s="5" t="s">
        <v>255</v>
      </c>
      <c r="C36" s="5">
        <f>COUNTIF(Enriched!$J$5:$J$38,"Matnog-Allen Ferry Transit")</f>
        <v>3</v>
      </c>
      <c r="D36" s="5">
        <f>SUMIF(Enriched!$J$5:$J$38,"Matnog-Allen Ferry Transit",Enriched!$U$5:$U$38)</f>
        <v>1</v>
      </c>
      <c r="E36" s="5">
        <f>SUMIF(Enriched!$J$5:$J$38,"Matnog-Allen Ferry Transit",Enriched!$Y$5:$Y$38)</f>
        <v>31</v>
      </c>
      <c r="F36" s="5" t="s">
        <v>132</v>
      </c>
      <c r="G36" s="5">
        <f>ROUND(AVERAGEIF(Enriched!$J$5:$J$38,"Matnog-Allen Ferry Transit",Enriched!$AD$5:$AD$38),0)</f>
        <v>100</v>
      </c>
    </row>
    <row r="45" spans="1:7" ht="20.100000000000001" customHeight="1" x14ac:dyDescent="0.25">
      <c r="A45" s="26" t="s">
        <v>740</v>
      </c>
      <c r="B45" s="13"/>
      <c r="C45" s="13"/>
      <c r="D45" s="13"/>
      <c r="E45" s="13"/>
      <c r="F45" s="13"/>
    </row>
    <row r="46" spans="1:7" x14ac:dyDescent="0.25">
      <c r="A46" s="4" t="s">
        <v>682</v>
      </c>
      <c r="B46" s="4" t="s">
        <v>686</v>
      </c>
      <c r="C46" s="4" t="s">
        <v>683</v>
      </c>
    </row>
    <row r="47" spans="1:7" ht="45" x14ac:dyDescent="0.25">
      <c r="A47" s="5" t="s">
        <v>687</v>
      </c>
      <c r="B47" s="5">
        <f>INDEX(Quality_Analysis!$J$6:$J$11,MATCH(A47,Quality_Analysis!$H$6:$H$11,0))</f>
        <v>100</v>
      </c>
      <c r="C47" s="5" t="s">
        <v>688</v>
      </c>
    </row>
    <row r="48" spans="1:7" ht="60" x14ac:dyDescent="0.25">
      <c r="A48" s="5" t="s">
        <v>689</v>
      </c>
      <c r="B48" s="5">
        <f>INDEX(Quality_Analysis!$J$6:$J$11,MATCH(A48,Quality_Analysis!$H$6:$H$11,0))</f>
        <v>100</v>
      </c>
      <c r="C48" s="5" t="s">
        <v>690</v>
      </c>
    </row>
    <row r="49" spans="1:3" ht="45" x14ac:dyDescent="0.25">
      <c r="A49" s="5" t="s">
        <v>691</v>
      </c>
      <c r="B49" s="5">
        <f>INDEX(Quality_Analysis!$J$6:$J$11,MATCH(A49,Quality_Analysis!$H$6:$H$11,0))</f>
        <v>100</v>
      </c>
      <c r="C49" s="5" t="s">
        <v>692</v>
      </c>
    </row>
    <row r="51" spans="1:3" x14ac:dyDescent="0.25">
      <c r="A51" s="1" t="s">
        <v>741</v>
      </c>
    </row>
    <row r="52" spans="1:3" ht="75" x14ac:dyDescent="0.25">
      <c r="A52" s="2" t="s">
        <v>742</v>
      </c>
    </row>
    <row r="53" spans="1:3" ht="120" x14ac:dyDescent="0.25">
      <c r="A53" s="2" t="s">
        <v>743</v>
      </c>
    </row>
  </sheetData>
  <mergeCells count="17">
    <mergeCell ref="A11:L11"/>
    <mergeCell ref="A29:G29"/>
    <mergeCell ref="A45:F45"/>
    <mergeCell ref="A1:P1"/>
    <mergeCell ref="A2:P2"/>
    <mergeCell ref="A4:B4"/>
    <mergeCell ref="A5:B6"/>
    <mergeCell ref="A7:B8"/>
    <mergeCell ref="C4:D4"/>
    <mergeCell ref="C5:D6"/>
    <mergeCell ref="C7:D8"/>
    <mergeCell ref="E4:F4"/>
    <mergeCell ref="E5:F6"/>
    <mergeCell ref="E7:F8"/>
    <mergeCell ref="G4:H4"/>
    <mergeCell ref="G5:H6"/>
    <mergeCell ref="G7:H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</vt:lpstr>
      <vt:lpstr>Raw_Incidents</vt:lpstr>
      <vt:lpstr>Lookups</vt:lpstr>
      <vt:lpstr>Enriched</vt:lpstr>
      <vt:lpstr>Trend_Summary</vt:lpstr>
      <vt:lpstr>Causal_Analysis</vt:lpstr>
      <vt:lpstr>Exposure_Analysis</vt:lpstr>
      <vt:lpstr>Quality_Analysis</vt:lpstr>
      <vt:lpstr>Policy_Brief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Salang</cp:lastModifiedBy>
  <dcterms:created xsi:type="dcterms:W3CDTF">2026-06-05T10:42:20Z</dcterms:created>
  <dcterms:modified xsi:type="dcterms:W3CDTF">2026-06-05T10:42:24Z</dcterms:modified>
</cp:coreProperties>
</file>